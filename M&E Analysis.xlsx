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FELIX\Desktop\Olimage Case Study\"/>
    </mc:Choice>
  </mc:AlternateContent>
  <xr:revisionPtr revIDLastSave="0" documentId="13_ncr:1_{1DBB0316-E4BC-4C00-B98D-F84FD26F36BF}" xr6:coauthVersionLast="47" xr6:coauthVersionMax="47" xr10:uidLastSave="{00000000-0000-0000-0000-000000000000}"/>
  <bookViews>
    <workbookView xWindow="-120" yWindow="-120" windowWidth="20730" windowHeight="11160" firstSheet="1" activeTab="5" xr2:uid="{C1AB12AA-90C0-411D-8912-B4BB0B94AD43}"/>
  </bookViews>
  <sheets>
    <sheet name="Original Dataset" sheetId="5" r:id="rId1"/>
    <sheet name="Working Dataset" sheetId="6" r:id="rId2"/>
    <sheet name="Pre-Analysis" sheetId="2" r:id="rId3"/>
    <sheet name="Calculations" sheetId="7" r:id="rId4"/>
    <sheet name="Chart" sheetId="9" r:id="rId5"/>
    <sheet name="Dashboard" sheetId="10" r:id="rId6"/>
    <sheet name="In-Analysis" sheetId="11" r:id="rId7"/>
    <sheet name="Final Recommendations" sheetId="12" r:id="rId8"/>
  </sheets>
  <definedNames>
    <definedName name="achiev_rate">Chart!$R$2</definedName>
    <definedName name="clean_energy">Chart!$R$4</definedName>
    <definedName name="com_sat">Chart!$R$6</definedName>
    <definedName name="current_date">Chart!$R$10</definedName>
    <definedName name="Slicer_Intervention">#N/A</definedName>
    <definedName name="Slicer_Performance_Status">#N/A</definedName>
    <definedName name="system_uptime">Chart!$R$5</definedName>
    <definedName name="TER">Chart!$R$7</definedName>
    <definedName name="trgt_gap">Chart!$R$3</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1" i="9" l="1" a="1"/>
  <c r="A101" i="9" s="1"/>
  <c r="H93" i="9" a="1"/>
  <c r="H93" i="9" s="1"/>
  <c r="R9" i="9"/>
  <c r="R10" i="9" s="1"/>
  <c r="T51"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P3" i="6"/>
  <c r="U3" i="6" s="1"/>
  <c r="P4" i="6"/>
  <c r="U4" i="6" s="1"/>
  <c r="P5" i="6"/>
  <c r="U5" i="6" s="1"/>
  <c r="P6" i="6"/>
  <c r="U6" i="6" s="1"/>
  <c r="P7" i="6"/>
  <c r="U7" i="6" s="1"/>
  <c r="P8" i="6"/>
  <c r="U8" i="6" s="1"/>
  <c r="P9" i="6"/>
  <c r="U9" i="6" s="1"/>
  <c r="P10" i="6"/>
  <c r="U10" i="6" s="1"/>
  <c r="P11" i="6"/>
  <c r="U11" i="6" s="1"/>
  <c r="P12" i="6"/>
  <c r="U12" i="6" s="1"/>
  <c r="P13" i="6"/>
  <c r="U13" i="6" s="1"/>
  <c r="P14" i="6"/>
  <c r="U14" i="6" s="1"/>
  <c r="P15" i="6"/>
  <c r="U15" i="6" s="1"/>
  <c r="P16" i="6"/>
  <c r="U16" i="6" s="1"/>
  <c r="P17" i="6"/>
  <c r="U17" i="6" s="1"/>
  <c r="P18" i="6"/>
  <c r="U18" i="6" s="1"/>
  <c r="P19" i="6"/>
  <c r="U19" i="6" s="1"/>
  <c r="P20" i="6"/>
  <c r="U20" i="6" s="1"/>
  <c r="P21" i="6"/>
  <c r="U21" i="6" s="1"/>
  <c r="P22" i="6"/>
  <c r="U22" i="6" s="1"/>
  <c r="P23" i="6"/>
  <c r="U23" i="6" s="1"/>
  <c r="P24" i="6"/>
  <c r="U24" i="6" s="1"/>
  <c r="P25" i="6"/>
  <c r="U25" i="6" s="1"/>
  <c r="P26" i="6"/>
  <c r="U26" i="6" s="1"/>
  <c r="P27" i="6"/>
  <c r="U27" i="6" s="1"/>
  <c r="P28" i="6"/>
  <c r="U28" i="6" s="1"/>
  <c r="P29" i="6"/>
  <c r="U29" i="6" s="1"/>
  <c r="P30" i="6"/>
  <c r="U30" i="6" s="1"/>
  <c r="P31" i="6"/>
  <c r="U31" i="6" s="1"/>
  <c r="P32" i="6"/>
  <c r="U32" i="6" s="1"/>
  <c r="P33" i="6"/>
  <c r="U33" i="6" s="1"/>
  <c r="P34" i="6"/>
  <c r="U34" i="6" s="1"/>
  <c r="P35" i="6"/>
  <c r="U35" i="6" s="1"/>
  <c r="P36" i="6"/>
  <c r="U36" i="6" s="1"/>
  <c r="P37" i="6"/>
  <c r="U37" i="6" s="1"/>
  <c r="P38" i="6"/>
  <c r="U38" i="6" s="1"/>
  <c r="P39" i="6"/>
  <c r="U39" i="6" s="1"/>
  <c r="P40" i="6"/>
  <c r="U40" i="6" s="1"/>
  <c r="P41" i="6"/>
  <c r="U41" i="6" s="1"/>
  <c r="P42" i="6"/>
  <c r="U42" i="6" s="1"/>
  <c r="P43" i="6"/>
  <c r="U43" i="6" s="1"/>
  <c r="P44" i="6"/>
  <c r="U44" i="6" s="1"/>
  <c r="P45" i="6"/>
  <c r="U45" i="6" s="1"/>
  <c r="P46" i="6"/>
  <c r="U46" i="6" s="1"/>
  <c r="P47" i="6"/>
  <c r="U47" i="6" s="1"/>
  <c r="P48" i="6"/>
  <c r="U48" i="6" s="1"/>
  <c r="P49" i="6"/>
  <c r="U49" i="6" s="1"/>
  <c r="P50" i="6"/>
  <c r="U50" i="6" s="1"/>
  <c r="P51" i="6"/>
  <c r="U51" i="6" s="1"/>
  <c r="P52" i="6"/>
  <c r="U52" i="6" s="1"/>
  <c r="P53" i="6"/>
  <c r="U53" i="6" s="1"/>
  <c r="P54" i="6"/>
  <c r="U54" i="6" s="1"/>
  <c r="P55" i="6"/>
  <c r="U55" i="6" s="1"/>
  <c r="P56" i="6"/>
  <c r="U56" i="6" s="1"/>
  <c r="P57" i="6"/>
  <c r="U57" i="6" s="1"/>
  <c r="P58" i="6"/>
  <c r="U58" i="6" s="1"/>
  <c r="P59" i="6"/>
  <c r="U59" i="6" s="1"/>
  <c r="P60" i="6"/>
  <c r="U60" i="6" s="1"/>
  <c r="P61" i="6"/>
  <c r="U61" i="6" s="1"/>
  <c r="P62" i="6"/>
  <c r="U62" i="6" s="1"/>
  <c r="P63" i="6"/>
  <c r="U63" i="6" s="1"/>
  <c r="P64" i="6"/>
  <c r="U64" i="6" s="1"/>
  <c r="P65" i="6"/>
  <c r="U65" i="6" s="1"/>
  <c r="P66" i="6"/>
  <c r="U66" i="6" s="1"/>
  <c r="P67" i="6"/>
  <c r="U67" i="6" s="1"/>
  <c r="P68" i="6"/>
  <c r="U68" i="6" s="1"/>
  <c r="P69" i="6"/>
  <c r="U69" i="6" s="1"/>
  <c r="P70" i="6"/>
  <c r="U70" i="6" s="1"/>
  <c r="P71" i="6"/>
  <c r="U71" i="6" s="1"/>
  <c r="P72" i="6"/>
  <c r="U72" i="6" s="1"/>
  <c r="P73" i="6"/>
  <c r="U73" i="6" s="1"/>
  <c r="P74" i="6"/>
  <c r="U74" i="6" s="1"/>
  <c r="P75" i="6"/>
  <c r="U75" i="6" s="1"/>
  <c r="P76" i="6"/>
  <c r="U76" i="6" s="1"/>
  <c r="P77" i="6"/>
  <c r="U77" i="6" s="1"/>
  <c r="P78" i="6"/>
  <c r="U78" i="6" s="1"/>
  <c r="P79" i="6"/>
  <c r="U79" i="6" s="1"/>
  <c r="P80" i="6"/>
  <c r="U80" i="6" s="1"/>
  <c r="P81" i="6"/>
  <c r="U81" i="6" s="1"/>
  <c r="P82" i="6"/>
  <c r="U82" i="6" s="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R7" i="9"/>
  <c r="R3" i="9"/>
  <c r="R4" i="9"/>
  <c r="R2" i="9"/>
  <c r="R5" i="9"/>
  <c r="R6" i="9"/>
  <c r="O13" i="9"/>
  <c r="O13" i="9"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<sst xmlns="http://schemas.openxmlformats.org/spreadsheetml/2006/main" count="866" uniqueCount="188">
  <si>
    <t>Project</t>
  </si>
  <si>
    <t>State</t>
  </si>
  <si>
    <t>Intervention</t>
  </si>
  <si>
    <t>Baseline_%</t>
  </si>
  <si>
    <t>Target_%</t>
  </si>
  <si>
    <t>Current_Achievement_%</t>
  </si>
  <si>
    <t>Beneficiaries</t>
  </si>
  <si>
    <t>Local_Jobs_Created</t>
  </si>
  <si>
    <t>People_Trained</t>
  </si>
  <si>
    <t>People_Gaining_Clean_Energy_Access</t>
  </si>
  <si>
    <t>System_Uptime_%</t>
  </si>
  <si>
    <t>Performance_Status</t>
  </si>
  <si>
    <t>Achievement_Gap_pp</t>
  </si>
  <si>
    <t>Target_Gap_pp</t>
  </si>
  <si>
    <t>ME-0001</t>
  </si>
  <si>
    <t>Niger Community Power Project</t>
  </si>
  <si>
    <t>Anambra</t>
  </si>
  <si>
    <t>Solar Water Pump</t>
  </si>
  <si>
    <t>On Track</t>
  </si>
  <si>
    <t>ME-0002</t>
  </si>
  <si>
    <t>Enugu Clean Energy Project</t>
  </si>
  <si>
    <t>Edo</t>
  </si>
  <si>
    <t>Solar Backup System</t>
  </si>
  <si>
    <t>ME-0003</t>
  </si>
  <si>
    <t>Lagos</t>
  </si>
  <si>
    <t>Community Energy Access</t>
  </si>
  <si>
    <t>At Risk</t>
  </si>
  <si>
    <t>ME-0004</t>
  </si>
  <si>
    <t>Edo Community Mini-grid</t>
  </si>
  <si>
    <t>Enugu</t>
  </si>
  <si>
    <t>Skills Training</t>
  </si>
  <si>
    <t>ME-0005</t>
  </si>
  <si>
    <t>Kwara SME Solar Programme</t>
  </si>
  <si>
    <t>Kaduna</t>
  </si>
  <si>
    <t>ME-0006</t>
  </si>
  <si>
    <t>Rivers Solar Productive-Use Programme</t>
  </si>
  <si>
    <t>Delta</t>
  </si>
  <si>
    <t>ME-0007</t>
  </si>
  <si>
    <t>Ogun Solar Hub</t>
  </si>
  <si>
    <t>Cross River</t>
  </si>
  <si>
    <t>ME-0008</t>
  </si>
  <si>
    <t>Abia</t>
  </si>
  <si>
    <t>ME-0009</t>
  </si>
  <si>
    <t>Kano</t>
  </si>
  <si>
    <t>Institutional Capacity Building</t>
  </si>
  <si>
    <t>ME-0010</t>
  </si>
  <si>
    <t>ME-0011</t>
  </si>
  <si>
    <t>Oyo Solar Water Initiative</t>
  </si>
  <si>
    <t>Kwara</t>
  </si>
  <si>
    <t>ME-0012</t>
  </si>
  <si>
    <t>Kaduna Health Power</t>
  </si>
  <si>
    <t>Ogun</t>
  </si>
  <si>
    <t>ME-0013</t>
  </si>
  <si>
    <t>ME-0014</t>
  </si>
  <si>
    <t>ME-0015</t>
  </si>
  <si>
    <t>Oyo</t>
  </si>
  <si>
    <t>ME-0016</t>
  </si>
  <si>
    <t>Plateau School Energy Project</t>
  </si>
  <si>
    <t>ME-0017</t>
  </si>
  <si>
    <t>ME-0018</t>
  </si>
  <si>
    <t>ME-0019</t>
  </si>
  <si>
    <t>ME-0020</t>
  </si>
  <si>
    <t>ME-0021</t>
  </si>
  <si>
    <t>Plateau</t>
  </si>
  <si>
    <t>ME-0022</t>
  </si>
  <si>
    <t>Off Track</t>
  </si>
  <si>
    <t>ME-0023</t>
  </si>
  <si>
    <t>ME-0024</t>
  </si>
  <si>
    <t>Solar Mini-grid</t>
  </si>
  <si>
    <t>ME-0025</t>
  </si>
  <si>
    <t>ME-0026</t>
  </si>
  <si>
    <t>ME-0027</t>
  </si>
  <si>
    <t>ME-0028</t>
  </si>
  <si>
    <t>ME-0029</t>
  </si>
  <si>
    <t>Niger</t>
  </si>
  <si>
    <t>ME-0030</t>
  </si>
  <si>
    <t>ME-0031</t>
  </si>
  <si>
    <t>ME-0032</t>
  </si>
  <si>
    <t>ME-0033</t>
  </si>
  <si>
    <t>ME-0034</t>
  </si>
  <si>
    <t>Rivers</t>
  </si>
  <si>
    <t>ME-0035</t>
  </si>
  <si>
    <t>ME-0036</t>
  </si>
  <si>
    <t>ME-0037</t>
  </si>
  <si>
    <t>ME-0038</t>
  </si>
  <si>
    <t>ME-0039</t>
  </si>
  <si>
    <t>ME-0040</t>
  </si>
  <si>
    <t>ME-0041</t>
  </si>
  <si>
    <t>ME-0042</t>
  </si>
  <si>
    <t>ME-0043</t>
  </si>
  <si>
    <t>ME-0044</t>
  </si>
  <si>
    <t>ME-0045</t>
  </si>
  <si>
    <t>ME-0046</t>
  </si>
  <si>
    <t>ME-0047</t>
  </si>
  <si>
    <t>ME-0048</t>
  </si>
  <si>
    <t>ME-0049</t>
  </si>
  <si>
    <t>ME-0050</t>
  </si>
  <si>
    <t>ME-0051</t>
  </si>
  <si>
    <t>ME-0052</t>
  </si>
  <si>
    <t>ME-0053</t>
  </si>
  <si>
    <t>ME-0054</t>
  </si>
  <si>
    <t>ME-0055</t>
  </si>
  <si>
    <t>ME-0056</t>
  </si>
  <si>
    <t>ME-0057</t>
  </si>
  <si>
    <t>ME-0058</t>
  </si>
  <si>
    <t>ME-0059</t>
  </si>
  <si>
    <t>ME-0060</t>
  </si>
  <si>
    <t>ME-0061</t>
  </si>
  <si>
    <t>ME-0062</t>
  </si>
  <si>
    <t>ME-0063</t>
  </si>
  <si>
    <t>ME-0064</t>
  </si>
  <si>
    <t>ME-0065</t>
  </si>
  <si>
    <t>ME-0066</t>
  </si>
  <si>
    <t>ME-0067</t>
  </si>
  <si>
    <t>ME-0068</t>
  </si>
  <si>
    <t>ME-0069</t>
  </si>
  <si>
    <t>ME-0070</t>
  </si>
  <si>
    <t>ME-0071</t>
  </si>
  <si>
    <t>ME-0072</t>
  </si>
  <si>
    <t>ME-0073</t>
  </si>
  <si>
    <t>ME-0074</t>
  </si>
  <si>
    <t>ME-0075</t>
  </si>
  <si>
    <t>ME-0076</t>
  </si>
  <si>
    <t>ME-0077</t>
  </si>
  <si>
    <t>ME-0078</t>
  </si>
  <si>
    <t>ME-0079</t>
  </si>
  <si>
    <t>ME-0080</t>
  </si>
  <si>
    <t>Record_ID</t>
  </si>
  <si>
    <t>Community_Satisfaction</t>
  </si>
  <si>
    <t>M&amp;E_Record_ID</t>
  </si>
  <si>
    <t>Community_Satisfaction_5</t>
  </si>
  <si>
    <t>Community Renewable Energy Impact &amp; Performance Analysis</t>
  </si>
  <si>
    <t>Achievement_Gap</t>
  </si>
  <si>
    <t>Achievement Gap</t>
  </si>
  <si>
    <t>Current_Achievement_% - Baseline_%</t>
  </si>
  <si>
    <t>Calculated Columns</t>
  </si>
  <si>
    <t>Formula</t>
  </si>
  <si>
    <t>Purpose</t>
  </si>
  <si>
    <t>Name</t>
  </si>
  <si>
    <t>How much has performance improved from baseline?</t>
  </si>
  <si>
    <t>Target Gap</t>
  </si>
  <si>
    <t>How far is current performance from the target?</t>
  </si>
  <si>
    <t>Current_Achievement_% - Target_%</t>
  </si>
  <si>
    <t>Target Achievement Rate</t>
  </si>
  <si>
    <t>Current_Achievement_% / Target_%</t>
  </si>
  <si>
    <t>Target_Gap</t>
  </si>
  <si>
    <t>Target_Achievement_Rate</t>
  </si>
  <si>
    <t>How much of the target has been achieved</t>
  </si>
  <si>
    <t>Clean Energy Access Rate</t>
  </si>
  <si>
    <t>People_Gaining_Clean_Energy_Access / Beneficiaries</t>
  </si>
  <si>
    <t>What proportion of beneficiaries are actually gaining clean-energy access?</t>
  </si>
  <si>
    <t>Clean_Energy _Access_Rate</t>
  </si>
  <si>
    <t>Training-to-Employment Rate</t>
  </si>
  <si>
    <t>Is skills development translating into local employment?</t>
  </si>
  <si>
    <t>Local_Jobs_Created / People_Trained</t>
  </si>
  <si>
    <t>Training-to-Employment_Rate</t>
  </si>
  <si>
    <t>Unserved Beneficiaries</t>
  </si>
  <si>
    <t>Beneficiaries who are not currently recorded as gaining clean-energy access.</t>
  </si>
  <si>
    <t>Beneficiaries - People_Gaining_Clean_Energy_Access</t>
  </si>
  <si>
    <t>Beneficiary_Without_Recorded_Clean_Engergy_Access</t>
  </si>
  <si>
    <t>Performance Status</t>
  </si>
  <si>
    <t>Baseline_pct</t>
  </si>
  <si>
    <t>Who's meeting target, exceeding or underperforming?</t>
  </si>
  <si>
    <t>Nested if statements</t>
  </si>
  <si>
    <t>1. Which interventions/states are missing their targets?</t>
  </si>
  <si>
    <t>Row Labels</t>
  </si>
  <si>
    <t>Grand Total</t>
  </si>
  <si>
    <t>Sum of Target_Gap</t>
  </si>
  <si>
    <t>2. Are beneficiaries actually gaining clean-energy access?</t>
  </si>
  <si>
    <t>Sum of Beneficiaries</t>
  </si>
  <si>
    <t>Sum of People_Gaining_Clean_Energy_Access</t>
  </si>
  <si>
    <t>3. Does reliability relate to community satisfaction?</t>
  </si>
  <si>
    <t>Sum of Community_Satisfaction</t>
  </si>
  <si>
    <t>4. Is training translating into local jobs?</t>
  </si>
  <si>
    <t>Sum of Local_Jobs_Created</t>
  </si>
  <si>
    <t>Count of Performance Status</t>
  </si>
  <si>
    <t>5. Which interventions demonstrate the strongest overall performance?</t>
  </si>
  <si>
    <t>6. Community Impact Profile</t>
  </si>
  <si>
    <t>Average of Target_Achievement_Rate</t>
  </si>
  <si>
    <t>Average of Clean_Energy _Access_Rate</t>
  </si>
  <si>
    <t>Average of System_Uptime_%</t>
  </si>
  <si>
    <t>Average of Community_Satisfaction</t>
  </si>
  <si>
    <t>KPIs</t>
  </si>
  <si>
    <t>Clean-Energy Access</t>
  </si>
  <si>
    <t>System Uptime %</t>
  </si>
  <si>
    <t>Community Satisfaction</t>
  </si>
  <si>
    <t>Average of Training-to-Employment_Rate</t>
  </si>
  <si>
    <t>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</si>
</sst>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quot;K&quot;"/>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rgb="FFF4F6F8"/>
        <bgColor indexed="64"/>
      </patternFill>
    </fill>
    <fill>
      <patternFill patternType="solid">
        <fgColor rgb="FFD96B00"/>
        <bgColor indexed="64"/>
      </patternFill>
    </fill>
    <fill>
      <patternFill patternType="solid">
        <fgColor rgb="FF82C48E"/>
        <bgColor indexed="64"/>
      </patternFill>
    </fill>
    <fill>
      <patternFill patternType="solid">
        <fgColor rgb="FFF2F6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4">
    <xf numFmtId="0" fontId="0" fillId="0" borderId="0" xfId="0"/>
    <xf numFmtId="0" fontId="0" fillId="2" borderId="0" xfId="0" applyFill="1"/>
    <xf numFmtId="0" fontId="1" fillId="2" borderId="0" xfId="0" applyFont="1" applyFill="1"/>
    <xf numFmtId="10" fontId="0" fillId="0" borderId="0" xfId="0" applyNumberFormat="1"/>
    <xf numFmtId="0" fontId="1" fillId="4" borderId="0" xfId="0" applyFont="1" applyFill="1"/>
    <xf numFmtId="10" fontId="0"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alignment horizontal="left"/>
    </xf>
    <xf numFmtId="2" fontId="0" fillId="0" borderId="0" xfId="0" applyNumberFormat="1"/>
    <xf numFmtId="0" fontId="0" fillId="0" borderId="1" xfId="0" applyBorder="1"/>
    <xf numFmtId="10" fontId="0" fillId="0" borderId="1" xfId="1" applyNumberFormat="1" applyFont="1" applyBorder="1"/>
    <xf numFmtId="2" fontId="0" fillId="0" borderId="1" xfId="0" applyNumberFormat="1" applyBorder="1"/>
    <xf numFmtId="0" fontId="0" fillId="0" borderId="1" xfId="0" applyFont="1" applyBorder="1"/>
    <xf numFmtId="0" fontId="0" fillId="5" borderId="0" xfId="0" applyFill="1"/>
    <xf numFmtId="14" fontId="0" fillId="0" borderId="0" xfId="0" applyNumberFormat="1"/>
    <xf numFmtId="164" fontId="0" fillId="0" borderId="0" xfId="0" applyNumberFormat="1"/>
    <xf numFmtId="9" fontId="0" fillId="0" borderId="0" xfId="1" applyFont="1"/>
    <xf numFmtId="164" fontId="0" fillId="0" borderId="1" xfId="2" applyNumberFormat="1" applyFont="1" applyBorder="1"/>
    <xf numFmtId="0" fontId="3" fillId="3" borderId="0" xfId="0" applyFont="1" applyFill="1" applyAlignment="1">
      <alignment horizontal="center"/>
    </xf>
    <xf numFmtId="0" fontId="0" fillId="2" borderId="1" xfId="0" applyFill="1" applyBorder="1" applyAlignment="1">
      <alignment horizontal="center"/>
    </xf>
    <xf numFmtId="0" fontId="1" fillId="4" borderId="0" xfId="0" applyFont="1" applyFill="1" applyAlignment="1">
      <alignment horizontal="center"/>
    </xf>
  </cellXfs>
  <cellStyles count="3">
    <cellStyle name="Comma" xfId="2" builtinId="3"/>
    <cellStyle name="Normal" xfId="0" builtinId="0"/>
    <cellStyle name="Percent" xfId="1" builtinId="5"/>
  </cellStyles>
  <dxfs count="21">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quot;K&quot;"/>
    </dxf>
    <dxf>
      <numFmt numFmtId="164" formatCode="0.0,&quot;K&quot;"/>
    </dxf>
    <dxf>
      <numFmt numFmtId="14" formatCode="0.00%"/>
    </dxf>
    <dxf>
      <numFmt numFmtId="1" formatCode="0"/>
    </dxf>
    <dxf>
      <numFmt numFmtId="14" formatCode="0.00%"/>
    </dxf>
    <dxf>
      <numFmt numFmtId="14" formatCode="0.00%"/>
    </dxf>
    <dxf>
      <numFmt numFmtId="14" formatCode="0.00%"/>
    </dxf>
    <dxf>
      <numFmt numFmtId="0" formatCode="General"/>
    </dxf>
    <dxf>
      <numFmt numFmtId="0" formatCode="General"/>
    </dxf>
    <dxf>
      <numFmt numFmtId="14" formatCode="0.00%"/>
    </dxf>
    <dxf>
      <font>
        <b/>
        <i val="0"/>
        <strike val="0"/>
        <condense val="0"/>
        <extend val="0"/>
        <outline val="0"/>
        <shadow val="0"/>
        <u val="none"/>
        <vertAlign val="baseline"/>
        <sz val="11"/>
        <color theme="1"/>
        <name val="Aptos Narrow"/>
        <family val="2"/>
        <scheme val="minor"/>
      </font>
      <fill>
        <patternFill patternType="solid">
          <fgColor indexed="64"/>
          <bgColor rgb="FF82C48E"/>
        </patternFill>
      </fill>
    </dxf>
    <dxf>
      <font>
        <b/>
        <color theme="1"/>
      </font>
      <border diagonalUp="0" diagonalDown="0">
        <left/>
        <right/>
        <top/>
        <bottom/>
        <vertical/>
        <horizontal/>
      </border>
    </dxf>
    <dxf>
      <font>
        <color theme="1"/>
      </font>
      <border diagonalUp="0" diagonalDown="0">
        <left/>
        <right/>
        <top/>
        <bottom/>
        <vertical/>
        <horizontal/>
      </border>
    </dxf>
  </dxfs>
  <tableStyles count="1" defaultTableStyle="TableStyleMedium2" defaultPivotStyle="PivotStyleLight16">
    <tableStyle name="New Slicer" pivot="0" table="0" count="10" xr9:uid="{75D93BB0-D44A-48C2-83EB-0059F85CD7A9}">
      <tableStyleElement type="wholeTable" dxfId="20"/>
      <tableStyleElement type="headerRow" dxfId="19"/>
    </tableStyle>
  </tableStyles>
  <colors>
    <mruColors>
      <color rgb="FF939759"/>
      <color rgb="FF316C55"/>
      <color rgb="FF105442"/>
      <color rgb="FF61A786"/>
      <color rgb="FFC89528"/>
      <color rgb="FFC47E42"/>
      <color rgb="FFBA8E27"/>
      <color rgb="FF4C6E21"/>
      <color rgb="FFC69628"/>
      <color rgb="FFB589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39759"/>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105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316C5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[M&amp;E Analysis_New.xlsx]Chart!PivotTable2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05442"/>
          </a:solidFill>
          <a:ln>
            <a:noFill/>
          </a:ln>
          <a:effectLst/>
        </c:spPr>
      </c:pivotFmt>
      <c:pivotFmt>
        <c:idx val="2"/>
        <c:spPr>
          <a:solidFill>
            <a:srgbClr val="105442"/>
          </a:solidFill>
          <a:ln>
            <a:noFill/>
          </a:ln>
          <a:effectLst/>
        </c:spPr>
      </c:pivotFmt>
      <c:pivotFmt>
        <c:idx val="3"/>
        <c:spPr>
          <a:solidFill>
            <a:srgbClr val="105442"/>
          </a:solidFill>
          <a:ln>
            <a:noFill/>
          </a:ln>
          <a:effectLst/>
        </c:spPr>
      </c:pivotFmt>
      <c:pivotFmt>
        <c:idx val="4"/>
        <c:spPr>
          <a:solidFill>
            <a:srgbClr val="105442"/>
          </a:solidFill>
          <a:ln>
            <a:noFill/>
          </a:ln>
          <a:effectLst/>
        </c:spPr>
      </c:pivotFmt>
      <c:pivotFmt>
        <c:idx val="5"/>
        <c:spPr>
          <a:solidFill>
            <a:srgbClr val="C69628"/>
          </a:solidFill>
          <a:ln>
            <a:noFill/>
          </a:ln>
          <a:effectLst/>
        </c:spPr>
      </c:pivotFmt>
      <c:pivotFmt>
        <c:idx val="6"/>
        <c:spPr>
          <a:solidFill>
            <a:srgbClr val="C69628"/>
          </a:solidFill>
          <a:ln>
            <a:noFill/>
          </a:ln>
          <a:effectLst/>
        </c:spPr>
      </c:pivotFmt>
      <c:pivotFmt>
        <c:idx val="7"/>
        <c:spPr>
          <a:solidFill>
            <a:srgbClr val="C69628"/>
          </a:solidFill>
          <a:ln>
            <a:noFill/>
          </a:ln>
          <a:effectLst/>
        </c:spPr>
      </c:pivotFmt>
      <c:pivotFmt>
        <c:idx val="8"/>
        <c:spPr>
          <a:solidFill>
            <a:srgbClr val="C69628"/>
          </a:solidFill>
          <a:ln>
            <a:noFill/>
          </a:ln>
          <a:effectLst/>
        </c:spPr>
      </c:pivotFmt>
      <c:pivotFmt>
        <c:idx val="9"/>
        <c:spPr>
          <a:solidFill>
            <a:srgbClr val="C69628"/>
          </a:solidFill>
          <a:ln>
            <a:noFill/>
          </a:ln>
          <a:effectLst/>
        </c:spPr>
      </c:pivotFmt>
      <c:pivotFmt>
        <c:idx val="10"/>
        <c:spPr>
          <a:solidFill>
            <a:srgbClr val="C69628"/>
          </a:solidFill>
          <a:ln>
            <a:noFill/>
          </a:ln>
          <a:effectLst/>
        </c:spPr>
      </c:pivotFmt>
      <c:pivotFmt>
        <c:idx val="11"/>
        <c:spPr>
          <a:solidFill>
            <a:srgbClr val="C69628"/>
          </a:solidFill>
          <a:ln>
            <a:noFill/>
          </a:ln>
          <a:effectLst/>
        </c:spPr>
      </c:pivotFmt>
      <c:pivotFmt>
        <c:idx val="12"/>
        <c:spPr>
          <a:solidFill>
            <a:srgbClr val="C69628"/>
          </a:solidFill>
          <a:ln>
            <a:noFill/>
          </a:ln>
          <a:effectLst/>
        </c:spPr>
      </c:pivotFmt>
      <c:pivotFmt>
        <c:idx val="13"/>
        <c:spPr>
          <a:solidFill>
            <a:srgbClr val="C69628"/>
          </a:solidFill>
          <a:ln>
            <a:noFill/>
          </a:ln>
          <a:effectLst/>
        </c:spPr>
      </c:pivotFmt>
      <c:pivotFmt>
        <c:idx val="14"/>
        <c:spPr>
          <a:solidFill>
            <a:srgbClr val="C69628"/>
          </a:solidFill>
          <a:ln>
            <a:noFill/>
          </a:ln>
          <a:effectLst/>
        </c:spPr>
      </c:pivotFmt>
      <c:pivotFmt>
        <c:idx val="15"/>
        <c:spPr>
          <a:solidFill>
            <a:srgbClr val="C69628"/>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69628"/>
          </a:solidFill>
          <a:ln>
            <a:noFill/>
          </a:ln>
          <a:effectLst/>
        </c:spPr>
      </c:pivotFmt>
      <c:pivotFmt>
        <c:idx val="18"/>
        <c:spPr>
          <a:solidFill>
            <a:srgbClr val="C69628"/>
          </a:solidFill>
          <a:ln>
            <a:noFill/>
          </a:ln>
          <a:effectLst/>
        </c:spPr>
      </c:pivotFmt>
      <c:pivotFmt>
        <c:idx val="19"/>
        <c:spPr>
          <a:solidFill>
            <a:srgbClr val="C69628"/>
          </a:solidFill>
          <a:ln>
            <a:noFill/>
          </a:ln>
          <a:effectLst/>
        </c:spPr>
      </c:pivotFmt>
      <c:pivotFmt>
        <c:idx val="20"/>
        <c:spPr>
          <a:solidFill>
            <a:srgbClr val="C69628"/>
          </a:solidFill>
          <a:ln>
            <a:noFill/>
          </a:ln>
          <a:effectLst/>
        </c:spPr>
      </c:pivotFmt>
      <c:pivotFmt>
        <c:idx val="21"/>
        <c:spPr>
          <a:solidFill>
            <a:srgbClr val="105442"/>
          </a:solidFill>
          <a:ln>
            <a:noFill/>
          </a:ln>
          <a:effectLst/>
        </c:spPr>
      </c:pivotFmt>
      <c:pivotFmt>
        <c:idx val="22"/>
        <c:spPr>
          <a:solidFill>
            <a:srgbClr val="105442"/>
          </a:solidFill>
          <a:ln>
            <a:noFill/>
          </a:ln>
          <a:effectLst/>
        </c:spPr>
      </c:pivotFmt>
      <c:pivotFmt>
        <c:idx val="23"/>
        <c:spPr>
          <a:solidFill>
            <a:srgbClr val="105442"/>
          </a:solidFill>
          <a:ln>
            <a:noFill/>
          </a:ln>
          <a:effectLst/>
        </c:spPr>
      </c:pivotFmt>
      <c:pivotFmt>
        <c:idx val="24"/>
        <c:spPr>
          <a:solidFill>
            <a:srgbClr val="105442"/>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69628"/>
          </a:solidFill>
          <a:ln>
            <a:noFill/>
          </a:ln>
          <a:effectLst/>
        </c:spPr>
      </c:pivotFmt>
      <c:pivotFmt>
        <c:idx val="27"/>
        <c:spPr>
          <a:solidFill>
            <a:srgbClr val="C69628"/>
          </a:solidFill>
          <a:ln>
            <a:noFill/>
          </a:ln>
          <a:effectLst/>
        </c:spPr>
      </c:pivotFmt>
      <c:pivotFmt>
        <c:idx val="28"/>
        <c:spPr>
          <a:solidFill>
            <a:srgbClr val="C69628"/>
          </a:solidFill>
          <a:ln>
            <a:noFill/>
          </a:ln>
          <a:effectLst/>
        </c:spPr>
      </c:pivotFmt>
      <c:pivotFmt>
        <c:idx val="29"/>
        <c:spPr>
          <a:solidFill>
            <a:srgbClr val="C69628"/>
          </a:solidFill>
          <a:ln>
            <a:noFill/>
          </a:ln>
          <a:effectLst/>
        </c:spPr>
      </c:pivotFmt>
      <c:pivotFmt>
        <c:idx val="30"/>
        <c:spPr>
          <a:solidFill>
            <a:srgbClr val="105442"/>
          </a:solidFill>
          <a:ln>
            <a:noFill/>
          </a:ln>
          <a:effectLst/>
        </c:spPr>
      </c:pivotFmt>
      <c:pivotFmt>
        <c:idx val="31"/>
        <c:spPr>
          <a:solidFill>
            <a:srgbClr val="105442"/>
          </a:solidFill>
          <a:ln>
            <a:noFill/>
          </a:ln>
          <a:effectLst/>
        </c:spPr>
      </c:pivotFmt>
      <c:pivotFmt>
        <c:idx val="32"/>
        <c:spPr>
          <a:solidFill>
            <a:srgbClr val="105442"/>
          </a:solidFill>
          <a:ln>
            <a:noFill/>
          </a:ln>
          <a:effectLst/>
        </c:spPr>
      </c:pivotFmt>
      <c:pivotFmt>
        <c:idx val="33"/>
        <c:spPr>
          <a:solidFill>
            <a:srgbClr val="105442"/>
          </a:solidFill>
          <a:ln>
            <a:noFill/>
          </a:ln>
          <a:effectLst/>
        </c:spPr>
      </c:pivotFmt>
    </c:pivotFmts>
    <c:plotArea>
      <c:layout>
        <c:manualLayout>
          <c:layoutTarget val="inner"/>
          <c:xMode val="edge"/>
          <c:yMode val="edge"/>
          <c:x val="0.11137007874015747"/>
          <c:y val="4.853152773524977E-3"/>
          <c:w val="0.86573561231675311"/>
          <c:h val="0.88471170487148643"/>
        </c:manualLayout>
      </c:layout>
      <c:barChart>
        <c:barDir val="bar"/>
        <c:grouping val="clustered"/>
        <c:varyColors val="0"/>
        <c:ser>
          <c:idx val="0"/>
          <c:order val="0"/>
          <c:tx>
            <c:strRef>
              <c:f>Chart!$B$3</c:f>
              <c:strCache>
                <c:ptCount val="1"/>
                <c:pt idx="0">
                  <c:v>Total</c:v>
                </c:pt>
              </c:strCache>
            </c:strRef>
          </c:tx>
          <c:spPr>
            <a:solidFill>
              <a:schemeClr val="accent1"/>
            </a:solidFill>
            <a:ln>
              <a:noFill/>
            </a:ln>
            <a:effectLst/>
          </c:spPr>
          <c:invertIfNegative val="0"/>
          <c:dPt>
            <c:idx val="0"/>
            <c:invertIfNegative val="0"/>
            <c:bubble3D val="0"/>
            <c:spPr>
              <a:solidFill>
                <a:srgbClr val="C69628"/>
              </a:solidFill>
              <a:ln>
                <a:noFill/>
              </a:ln>
              <a:effectLst/>
            </c:spPr>
            <c:extLst>
              <c:ext xmlns:c16="http://schemas.microsoft.com/office/drawing/2014/chart" uri="{C3380CC4-5D6E-409C-BE32-E72D297353CC}">
                <c16:uniqueId val="{00000001-932F-42F0-AD09-9D92C239D06A}"/>
              </c:ext>
            </c:extLst>
          </c:dPt>
          <c:dPt>
            <c:idx val="1"/>
            <c:invertIfNegative val="0"/>
            <c:bubble3D val="0"/>
            <c:spPr>
              <a:solidFill>
                <a:srgbClr val="C69628"/>
              </a:solidFill>
              <a:ln>
                <a:noFill/>
              </a:ln>
              <a:effectLst/>
            </c:spPr>
            <c:extLst>
              <c:ext xmlns:c16="http://schemas.microsoft.com/office/drawing/2014/chart" uri="{C3380CC4-5D6E-409C-BE32-E72D297353CC}">
                <c16:uniqueId val="{00000003-932F-42F0-AD09-9D92C239D06A}"/>
              </c:ext>
            </c:extLst>
          </c:dPt>
          <c:dPt>
            <c:idx val="2"/>
            <c:invertIfNegative val="0"/>
            <c:bubble3D val="0"/>
            <c:spPr>
              <a:solidFill>
                <a:srgbClr val="C69628"/>
              </a:solidFill>
              <a:ln>
                <a:noFill/>
              </a:ln>
              <a:effectLst/>
            </c:spPr>
            <c:extLst>
              <c:ext xmlns:c16="http://schemas.microsoft.com/office/drawing/2014/chart" uri="{C3380CC4-5D6E-409C-BE32-E72D297353CC}">
                <c16:uniqueId val="{00000005-932F-42F0-AD09-9D92C239D06A}"/>
              </c:ext>
            </c:extLst>
          </c:dPt>
          <c:dPt>
            <c:idx val="3"/>
            <c:invertIfNegative val="0"/>
            <c:bubble3D val="0"/>
            <c:spPr>
              <a:solidFill>
                <a:srgbClr val="C69628"/>
              </a:solidFill>
              <a:ln>
                <a:noFill/>
              </a:ln>
              <a:effectLst/>
            </c:spPr>
            <c:extLst>
              <c:ext xmlns:c16="http://schemas.microsoft.com/office/drawing/2014/chart" uri="{C3380CC4-5D6E-409C-BE32-E72D297353CC}">
                <c16:uniqueId val="{00000007-932F-42F0-AD09-9D92C239D06A}"/>
              </c:ext>
            </c:extLst>
          </c:dPt>
          <c:dPt>
            <c:idx val="4"/>
            <c:invertIfNegative val="0"/>
            <c:bubble3D val="0"/>
            <c:spPr>
              <a:solidFill>
                <a:srgbClr val="105442"/>
              </a:solidFill>
              <a:ln>
                <a:noFill/>
              </a:ln>
              <a:effectLst/>
            </c:spPr>
            <c:extLst>
              <c:ext xmlns:c16="http://schemas.microsoft.com/office/drawing/2014/chart" uri="{C3380CC4-5D6E-409C-BE32-E72D297353CC}">
                <c16:uniqueId val="{00000009-932F-42F0-AD09-9D92C239D06A}"/>
              </c:ext>
            </c:extLst>
          </c:dPt>
          <c:dPt>
            <c:idx val="5"/>
            <c:invertIfNegative val="0"/>
            <c:bubble3D val="0"/>
            <c:spPr>
              <a:solidFill>
                <a:srgbClr val="105442"/>
              </a:solidFill>
              <a:ln>
                <a:noFill/>
              </a:ln>
              <a:effectLst/>
            </c:spPr>
            <c:extLst>
              <c:ext xmlns:c16="http://schemas.microsoft.com/office/drawing/2014/chart" uri="{C3380CC4-5D6E-409C-BE32-E72D297353CC}">
                <c16:uniqueId val="{0000000B-932F-42F0-AD09-9D92C239D06A}"/>
              </c:ext>
            </c:extLst>
          </c:dPt>
          <c:dPt>
            <c:idx val="6"/>
            <c:invertIfNegative val="0"/>
            <c:bubble3D val="0"/>
            <c:spPr>
              <a:solidFill>
                <a:srgbClr val="105442"/>
              </a:solidFill>
              <a:ln>
                <a:noFill/>
              </a:ln>
              <a:effectLst/>
            </c:spPr>
            <c:extLst>
              <c:ext xmlns:c16="http://schemas.microsoft.com/office/drawing/2014/chart" uri="{C3380CC4-5D6E-409C-BE32-E72D297353CC}">
                <c16:uniqueId val="{0000000D-932F-42F0-AD09-9D92C239D06A}"/>
              </c:ext>
            </c:extLst>
          </c:dPt>
          <c:dPt>
            <c:idx val="7"/>
            <c:invertIfNegative val="0"/>
            <c:bubble3D val="0"/>
            <c:spPr>
              <a:solidFill>
                <a:srgbClr val="105442"/>
              </a:solidFill>
              <a:ln>
                <a:noFill/>
              </a:ln>
              <a:effectLst/>
            </c:spPr>
            <c:extLst>
              <c:ext xmlns:c16="http://schemas.microsoft.com/office/drawing/2014/chart" uri="{C3380CC4-5D6E-409C-BE32-E72D297353CC}">
                <c16:uniqueId val="{0000000F-932F-42F0-AD09-9D92C239D0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Chart!$A$4:$A$12</c:f>
              <c:strCache>
                <c:ptCount val="8"/>
                <c:pt idx="0">
                  <c:v>Ogun</c:v>
                </c:pt>
                <c:pt idx="1">
                  <c:v>Lagos</c:v>
                </c:pt>
                <c:pt idx="2">
                  <c:v>Kwara</c:v>
                </c:pt>
                <c:pt idx="3">
                  <c:v>Enugu</c:v>
                </c:pt>
                <c:pt idx="4">
                  <c:v>Edo</c:v>
                </c:pt>
                <c:pt idx="5">
                  <c:v>Rivers</c:v>
                </c:pt>
                <c:pt idx="6">
                  <c:v>Oyo</c:v>
                </c:pt>
                <c:pt idx="7">
                  <c:v>Delta</c:v>
                </c:pt>
              </c:strCache>
            </c:strRef>
          </c:cat>
          <c:val>
            <c:numRef>
              <c:f>Chart!$B$4:$B$12</c:f>
              <c:numCache>
                <c:formatCode>General</c:formatCode>
                <c:ptCount val="8"/>
                <c:pt idx="0">
                  <c:v>-19</c:v>
                </c:pt>
                <c:pt idx="1">
                  <c:v>-18</c:v>
                </c:pt>
                <c:pt idx="2">
                  <c:v>-14</c:v>
                </c:pt>
                <c:pt idx="3">
                  <c:v>-10</c:v>
                </c:pt>
                <c:pt idx="4">
                  <c:v>2</c:v>
                </c:pt>
                <c:pt idx="5">
                  <c:v>4</c:v>
                </c:pt>
                <c:pt idx="6">
                  <c:v>7</c:v>
                </c:pt>
                <c:pt idx="7">
                  <c:v>13</c:v>
                </c:pt>
              </c:numCache>
            </c:numRef>
          </c:val>
          <c:extLst>
            <c:ext xmlns:c16="http://schemas.microsoft.com/office/drawing/2014/chart" uri="{C3380CC4-5D6E-409C-BE32-E72D297353CC}">
              <c16:uniqueId val="{00000010-932F-42F0-AD09-9D92C239D06A}"/>
            </c:ext>
          </c:extLst>
        </c:ser>
        <c:dLbls>
          <c:showLegendKey val="0"/>
          <c:showVal val="0"/>
          <c:showCatName val="0"/>
          <c:showSerName val="0"/>
          <c:showPercent val="0"/>
          <c:showBubbleSize val="0"/>
        </c:dLbls>
        <c:gapWidth val="55"/>
        <c:axId val="678307552"/>
        <c:axId val="678307912"/>
      </c:barChart>
      <c:catAx>
        <c:axId val="678307552"/>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8307912"/>
        <c:crosses val="autoZero"/>
        <c:auto val="1"/>
        <c:lblAlgn val="ctr"/>
        <c:lblOffset val="100"/>
        <c:noMultiLvlLbl val="0"/>
      </c:catAx>
      <c:valAx>
        <c:axId val="678307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830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[M&amp;E Analysis_New.xlsx]Chart!PivotTable3</c:name>
    <c:fmtId val="7"/>
  </c:pivotSource>
  <c:chart>
    <c:autoTitleDeleted val="0"/>
    <c:pivotFmts>
      <c:pivotFmt>
        <c:idx val="0"/>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8E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A8E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895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360062584689"/>
          <c:y val="1.7692309835531172E-2"/>
          <c:w val="0.85346614776072582"/>
          <c:h val="0.96461538032893779"/>
        </c:manualLayout>
      </c:layout>
      <c:barChart>
        <c:barDir val="bar"/>
        <c:grouping val="clustered"/>
        <c:varyColors val="0"/>
        <c:ser>
          <c:idx val="0"/>
          <c:order val="0"/>
          <c:tx>
            <c:strRef>
              <c:f>Chart!$I$3</c:f>
              <c:strCache>
                <c:ptCount val="1"/>
                <c:pt idx="0">
                  <c:v>Sum of Beneficiaries</c:v>
                </c:pt>
              </c:strCache>
            </c:strRef>
          </c:tx>
          <c:spPr>
            <a:solidFill>
              <a:srgbClr val="1054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Chart!$H$4:$H$10</c:f>
              <c:strCache>
                <c:ptCount val="6"/>
                <c:pt idx="0">
                  <c:v>Anambra</c:v>
                </c:pt>
                <c:pt idx="1">
                  <c:v>Kwara</c:v>
                </c:pt>
                <c:pt idx="2">
                  <c:v>Plateau</c:v>
                </c:pt>
                <c:pt idx="3">
                  <c:v>Kaduna</c:v>
                </c:pt>
                <c:pt idx="4">
                  <c:v>Ogun</c:v>
                </c:pt>
                <c:pt idx="5">
                  <c:v>Lagos</c:v>
                </c:pt>
              </c:strCache>
            </c:strRef>
          </c:cat>
          <c:val>
            <c:numRef>
              <c:f>Chart!$I$4:$I$10</c:f>
              <c:numCache>
                <c:formatCode>0.0,"K"</c:formatCode>
                <c:ptCount val="6"/>
                <c:pt idx="0">
                  <c:v>16578</c:v>
                </c:pt>
                <c:pt idx="1">
                  <c:v>14682</c:v>
                </c:pt>
                <c:pt idx="2">
                  <c:v>12143</c:v>
                </c:pt>
                <c:pt idx="3">
                  <c:v>9056</c:v>
                </c:pt>
                <c:pt idx="4">
                  <c:v>7789</c:v>
                </c:pt>
                <c:pt idx="5">
                  <c:v>7549</c:v>
                </c:pt>
              </c:numCache>
            </c:numRef>
          </c:val>
          <c:extLst>
            <c:ext xmlns:c16="http://schemas.microsoft.com/office/drawing/2014/chart" uri="{C3380CC4-5D6E-409C-BE32-E72D297353CC}">
              <c16:uniqueId val="{00000000-5659-4248-AA28-2847F7247210}"/>
            </c:ext>
          </c:extLst>
        </c:ser>
        <c:ser>
          <c:idx val="1"/>
          <c:order val="1"/>
          <c:tx>
            <c:strRef>
              <c:f>Chart!$J$3</c:f>
              <c:strCache>
                <c:ptCount val="1"/>
                <c:pt idx="0">
                  <c:v>Sum of People_Gaining_Clean_Energy_Access</c:v>
                </c:pt>
              </c:strCache>
            </c:strRef>
          </c:tx>
          <c:spPr>
            <a:solidFill>
              <a:srgbClr val="C895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Chart!$H$4:$H$10</c:f>
              <c:strCache>
                <c:ptCount val="6"/>
                <c:pt idx="0">
                  <c:v>Anambra</c:v>
                </c:pt>
                <c:pt idx="1">
                  <c:v>Kwara</c:v>
                </c:pt>
                <c:pt idx="2">
                  <c:v>Plateau</c:v>
                </c:pt>
                <c:pt idx="3">
                  <c:v>Kaduna</c:v>
                </c:pt>
                <c:pt idx="4">
                  <c:v>Ogun</c:v>
                </c:pt>
                <c:pt idx="5">
                  <c:v>Lagos</c:v>
                </c:pt>
              </c:strCache>
            </c:strRef>
          </c:cat>
          <c:val>
            <c:numRef>
              <c:f>Chart!$J$4:$J$10</c:f>
              <c:numCache>
                <c:formatCode>0.0,"K"</c:formatCode>
                <c:ptCount val="6"/>
                <c:pt idx="0">
                  <c:v>13850</c:v>
                </c:pt>
                <c:pt idx="1">
                  <c:v>11789</c:v>
                </c:pt>
                <c:pt idx="2">
                  <c:v>10898</c:v>
                </c:pt>
                <c:pt idx="3">
                  <c:v>7968</c:v>
                </c:pt>
                <c:pt idx="4">
                  <c:v>6203</c:v>
                </c:pt>
                <c:pt idx="5">
                  <c:v>5959</c:v>
                </c:pt>
              </c:numCache>
            </c:numRef>
          </c:val>
          <c:extLst>
            <c:ext xmlns:c16="http://schemas.microsoft.com/office/drawing/2014/chart" uri="{C3380CC4-5D6E-409C-BE32-E72D297353CC}">
              <c16:uniqueId val="{00000001-5659-4248-AA28-2847F7247210}"/>
            </c:ext>
          </c:extLst>
        </c:ser>
        <c:dLbls>
          <c:dLblPos val="outEnd"/>
          <c:showLegendKey val="0"/>
          <c:showVal val="1"/>
          <c:showCatName val="0"/>
          <c:showSerName val="0"/>
          <c:showPercent val="0"/>
          <c:showBubbleSize val="0"/>
        </c:dLbls>
        <c:gapWidth val="55"/>
        <c:axId val="679174688"/>
        <c:axId val="679175048"/>
      </c:barChart>
      <c:catAx>
        <c:axId val="67917468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9175048"/>
        <c:crosses val="autoZero"/>
        <c:auto val="1"/>
        <c:lblAlgn val="ctr"/>
        <c:lblOffset val="100"/>
        <c:noMultiLvlLbl val="0"/>
      </c:catAx>
      <c:valAx>
        <c:axId val="679175048"/>
        <c:scaling>
          <c:orientation val="minMax"/>
        </c:scaling>
        <c:delete val="1"/>
        <c:axPos val="t"/>
        <c:numFmt formatCode="0.0,&quot;K&quot;" sourceLinked="1"/>
        <c:majorTickMark val="none"/>
        <c:minorTickMark val="none"/>
        <c:tickLblPos val="nextTo"/>
        <c:crossAx val="67917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1882935433070865"/>
          <c:y val="6.8535626540143224E-2"/>
          <c:w val="0.82913058267716533"/>
          <c:h val="0.73906101931400503"/>
        </c:manualLayout>
      </c:layout>
      <c:scatterChart>
        <c:scatterStyle val="lineMarker"/>
        <c:varyColors val="0"/>
        <c:ser>
          <c:idx val="0"/>
          <c:order val="0"/>
          <c:tx>
            <c:strRef>
              <c:f>Chart!$I$93</c:f>
              <c:strCache>
                <c:ptCount val="1"/>
                <c:pt idx="0">
                  <c:v>Sum of Community_Satisfaction</c:v>
                </c:pt>
              </c:strCache>
            </c:strRef>
          </c:tx>
          <c:spPr>
            <a:ln w="38100" cap="rnd">
              <a:noFill/>
              <a:round/>
            </a:ln>
            <a:effectLst/>
          </c:spPr>
          <c:marker>
            <c:symbol val="circle"/>
            <c:size val="5"/>
            <c:spPr>
              <a:solidFill>
                <a:schemeClr val="accent2"/>
              </a:solidFill>
              <a:ln w="9525">
                <a:solidFill>
                  <a:schemeClr val="accent2"/>
                </a:solidFill>
              </a:ln>
              <a:effectLst/>
            </c:spPr>
          </c:marker>
          <c:xVal>
            <c:numRef>
              <c:f>Chart!$H$94:$H$159</c:f>
              <c:numCache>
                <c:formatCode>0%</c:formatCode>
                <c:ptCount val="66"/>
                <c:pt idx="0">
                  <c:v>0.78200000000000003</c:v>
                </c:pt>
                <c:pt idx="1">
                  <c:v>0.78500000000000003</c:v>
                </c:pt>
                <c:pt idx="2">
                  <c:v>0.78900000000000003</c:v>
                </c:pt>
                <c:pt idx="3">
                  <c:v>0.79</c:v>
                </c:pt>
                <c:pt idx="4">
                  <c:v>0.79200000000000004</c:v>
                </c:pt>
                <c:pt idx="5">
                  <c:v>0.79300000000000004</c:v>
                </c:pt>
                <c:pt idx="6">
                  <c:v>0.79700000000000004</c:v>
                </c:pt>
                <c:pt idx="7">
                  <c:v>0.79800000000000004</c:v>
                </c:pt>
                <c:pt idx="8">
                  <c:v>0.8</c:v>
                </c:pt>
                <c:pt idx="9">
                  <c:v>0.80100000000000005</c:v>
                </c:pt>
                <c:pt idx="10">
                  <c:v>0.80300000000000005</c:v>
                </c:pt>
                <c:pt idx="11">
                  <c:v>0.80800000000000005</c:v>
                </c:pt>
                <c:pt idx="12">
                  <c:v>0.81200000000000006</c:v>
                </c:pt>
                <c:pt idx="13">
                  <c:v>0.81899999999999995</c:v>
                </c:pt>
                <c:pt idx="14">
                  <c:v>0.82</c:v>
                </c:pt>
                <c:pt idx="15">
                  <c:v>0.82399999999999995</c:v>
                </c:pt>
                <c:pt idx="16">
                  <c:v>0.83</c:v>
                </c:pt>
                <c:pt idx="17">
                  <c:v>0.83099999999999996</c:v>
                </c:pt>
                <c:pt idx="18">
                  <c:v>0.83199999999999996</c:v>
                </c:pt>
                <c:pt idx="19">
                  <c:v>0.83399999999999996</c:v>
                </c:pt>
                <c:pt idx="20">
                  <c:v>0.83899999999999997</c:v>
                </c:pt>
                <c:pt idx="21">
                  <c:v>0.84399999999999997</c:v>
                </c:pt>
                <c:pt idx="22">
                  <c:v>0.84599999999999997</c:v>
                </c:pt>
                <c:pt idx="23">
                  <c:v>0.84699999999999998</c:v>
                </c:pt>
                <c:pt idx="24">
                  <c:v>0.84799999999999998</c:v>
                </c:pt>
                <c:pt idx="25">
                  <c:v>0.84899999999999998</c:v>
                </c:pt>
                <c:pt idx="26">
                  <c:v>0.85399999999999998</c:v>
                </c:pt>
                <c:pt idx="27">
                  <c:v>0.85799999999999998</c:v>
                </c:pt>
                <c:pt idx="28">
                  <c:v>0.86399999999999999</c:v>
                </c:pt>
                <c:pt idx="29">
                  <c:v>0.86599999999999999</c:v>
                </c:pt>
                <c:pt idx="30">
                  <c:v>0.86799999999999999</c:v>
                </c:pt>
                <c:pt idx="31">
                  <c:v>0.871</c:v>
                </c:pt>
                <c:pt idx="32">
                  <c:v>0.88</c:v>
                </c:pt>
                <c:pt idx="33">
                  <c:v>0.88500000000000001</c:v>
                </c:pt>
                <c:pt idx="34">
                  <c:v>0.88600000000000001</c:v>
                </c:pt>
                <c:pt idx="35">
                  <c:v>0.89200000000000002</c:v>
                </c:pt>
                <c:pt idx="36">
                  <c:v>0.89300000000000002</c:v>
                </c:pt>
                <c:pt idx="37">
                  <c:v>0.89400000000000002</c:v>
                </c:pt>
                <c:pt idx="38">
                  <c:v>0.89600000000000002</c:v>
                </c:pt>
                <c:pt idx="39">
                  <c:v>0.90200000000000002</c:v>
                </c:pt>
                <c:pt idx="40">
                  <c:v>0.90900000000000003</c:v>
                </c:pt>
                <c:pt idx="41">
                  <c:v>0.91</c:v>
                </c:pt>
                <c:pt idx="42">
                  <c:v>0.91100000000000003</c:v>
                </c:pt>
                <c:pt idx="43">
                  <c:v>0.91300000000000003</c:v>
                </c:pt>
                <c:pt idx="44">
                  <c:v>0.91400000000000003</c:v>
                </c:pt>
                <c:pt idx="45">
                  <c:v>0.91600000000000004</c:v>
                </c:pt>
                <c:pt idx="46">
                  <c:v>0.91900000000000004</c:v>
                </c:pt>
                <c:pt idx="47">
                  <c:v>0.94199999999999995</c:v>
                </c:pt>
                <c:pt idx="48">
                  <c:v>0.94499999999999995</c:v>
                </c:pt>
                <c:pt idx="49">
                  <c:v>0.94599999999999995</c:v>
                </c:pt>
                <c:pt idx="50">
                  <c:v>0.94699999999999995</c:v>
                </c:pt>
                <c:pt idx="51">
                  <c:v>0.94799999999999995</c:v>
                </c:pt>
                <c:pt idx="52">
                  <c:v>0.95299999999999996</c:v>
                </c:pt>
                <c:pt idx="53">
                  <c:v>0.95499999999999996</c:v>
                </c:pt>
                <c:pt idx="54">
                  <c:v>0.95599999999999996</c:v>
                </c:pt>
                <c:pt idx="55">
                  <c:v>0.95699999999999996</c:v>
                </c:pt>
                <c:pt idx="56">
                  <c:v>0.96</c:v>
                </c:pt>
                <c:pt idx="57">
                  <c:v>0.96199999999999997</c:v>
                </c:pt>
                <c:pt idx="58">
                  <c:v>0.96799999999999997</c:v>
                </c:pt>
                <c:pt idx="59">
                  <c:v>0.97099999999999997</c:v>
                </c:pt>
                <c:pt idx="60">
                  <c:v>0.97299999999999998</c:v>
                </c:pt>
                <c:pt idx="61">
                  <c:v>0.98099999999999998</c:v>
                </c:pt>
                <c:pt idx="62">
                  <c:v>0.98199999999999998</c:v>
                </c:pt>
                <c:pt idx="63">
                  <c:v>0.98399999999999999</c:v>
                </c:pt>
                <c:pt idx="64">
                  <c:v>0.99</c:v>
                </c:pt>
                <c:pt idx="65">
                  <c:v>0.99399999999999999</c:v>
                </c:pt>
              </c:numCache>
            </c:numRef>
          </c:xVal>
          <c:yVal>
            <c:numRef>
              <c:f>Chart!$I$94:$I$159</c:f>
              <c:numCache>
                <c:formatCode>General</c:formatCode>
                <c:ptCount val="66"/>
                <c:pt idx="0">
                  <c:v>4.4000000000000004</c:v>
                </c:pt>
                <c:pt idx="1">
                  <c:v>3.7</c:v>
                </c:pt>
                <c:pt idx="2">
                  <c:v>4</c:v>
                </c:pt>
                <c:pt idx="3">
                  <c:v>4.5999999999999996</c:v>
                </c:pt>
                <c:pt idx="4">
                  <c:v>3.2</c:v>
                </c:pt>
                <c:pt idx="5">
                  <c:v>4.0999999999999996</c:v>
                </c:pt>
                <c:pt idx="6">
                  <c:v>4.9000000000000004</c:v>
                </c:pt>
                <c:pt idx="7">
                  <c:v>3.9</c:v>
                </c:pt>
                <c:pt idx="8">
                  <c:v>4.2</c:v>
                </c:pt>
                <c:pt idx="9">
                  <c:v>3.7</c:v>
                </c:pt>
                <c:pt idx="10">
                  <c:v>3.4</c:v>
                </c:pt>
                <c:pt idx="11">
                  <c:v>3.4</c:v>
                </c:pt>
                <c:pt idx="12">
                  <c:v>4.8</c:v>
                </c:pt>
                <c:pt idx="13">
                  <c:v>3.4</c:v>
                </c:pt>
                <c:pt idx="14">
                  <c:v>3.5</c:v>
                </c:pt>
                <c:pt idx="15">
                  <c:v>3.8</c:v>
                </c:pt>
                <c:pt idx="16">
                  <c:v>3.8</c:v>
                </c:pt>
                <c:pt idx="17">
                  <c:v>4.8</c:v>
                </c:pt>
                <c:pt idx="18">
                  <c:v>3.4</c:v>
                </c:pt>
                <c:pt idx="19">
                  <c:v>9.3999999999999986</c:v>
                </c:pt>
                <c:pt idx="20">
                  <c:v>4.4000000000000004</c:v>
                </c:pt>
                <c:pt idx="21">
                  <c:v>13.7</c:v>
                </c:pt>
                <c:pt idx="22">
                  <c:v>3.5</c:v>
                </c:pt>
                <c:pt idx="23">
                  <c:v>4.4000000000000004</c:v>
                </c:pt>
                <c:pt idx="24">
                  <c:v>7.8000000000000007</c:v>
                </c:pt>
                <c:pt idx="25">
                  <c:v>4</c:v>
                </c:pt>
                <c:pt idx="26">
                  <c:v>3.4</c:v>
                </c:pt>
                <c:pt idx="27">
                  <c:v>9</c:v>
                </c:pt>
                <c:pt idx="28">
                  <c:v>3.2</c:v>
                </c:pt>
                <c:pt idx="29">
                  <c:v>8.5</c:v>
                </c:pt>
                <c:pt idx="30">
                  <c:v>3.6</c:v>
                </c:pt>
                <c:pt idx="31">
                  <c:v>4.9000000000000004</c:v>
                </c:pt>
                <c:pt idx="32">
                  <c:v>7.2</c:v>
                </c:pt>
                <c:pt idx="33">
                  <c:v>8.1999999999999993</c:v>
                </c:pt>
                <c:pt idx="34">
                  <c:v>8.1999999999999993</c:v>
                </c:pt>
                <c:pt idx="35">
                  <c:v>4.2</c:v>
                </c:pt>
                <c:pt idx="36">
                  <c:v>3.6</c:v>
                </c:pt>
                <c:pt idx="37">
                  <c:v>3.4</c:v>
                </c:pt>
                <c:pt idx="38">
                  <c:v>8.6000000000000014</c:v>
                </c:pt>
                <c:pt idx="39">
                  <c:v>4.7</c:v>
                </c:pt>
                <c:pt idx="40">
                  <c:v>8</c:v>
                </c:pt>
                <c:pt idx="41">
                  <c:v>4.4000000000000004</c:v>
                </c:pt>
                <c:pt idx="42">
                  <c:v>3.7</c:v>
                </c:pt>
                <c:pt idx="43">
                  <c:v>3.9</c:v>
                </c:pt>
                <c:pt idx="44">
                  <c:v>4.5</c:v>
                </c:pt>
                <c:pt idx="45">
                  <c:v>3.4</c:v>
                </c:pt>
                <c:pt idx="46">
                  <c:v>3.3</c:v>
                </c:pt>
                <c:pt idx="47">
                  <c:v>3.3</c:v>
                </c:pt>
                <c:pt idx="48">
                  <c:v>3.6</c:v>
                </c:pt>
                <c:pt idx="49">
                  <c:v>4.3</c:v>
                </c:pt>
                <c:pt idx="50">
                  <c:v>4.7</c:v>
                </c:pt>
                <c:pt idx="51">
                  <c:v>4.3</c:v>
                </c:pt>
                <c:pt idx="52">
                  <c:v>3.6</c:v>
                </c:pt>
                <c:pt idx="53">
                  <c:v>3.7</c:v>
                </c:pt>
                <c:pt idx="54">
                  <c:v>4.5999999999999996</c:v>
                </c:pt>
                <c:pt idx="55">
                  <c:v>4.2</c:v>
                </c:pt>
                <c:pt idx="56">
                  <c:v>12.5</c:v>
                </c:pt>
                <c:pt idx="57">
                  <c:v>3.6</c:v>
                </c:pt>
                <c:pt idx="58">
                  <c:v>4</c:v>
                </c:pt>
                <c:pt idx="59">
                  <c:v>3.9</c:v>
                </c:pt>
                <c:pt idx="60">
                  <c:v>4.5</c:v>
                </c:pt>
                <c:pt idx="61">
                  <c:v>4.4000000000000004</c:v>
                </c:pt>
                <c:pt idx="62">
                  <c:v>3.3</c:v>
                </c:pt>
                <c:pt idx="63">
                  <c:v>7.1</c:v>
                </c:pt>
                <c:pt idx="64">
                  <c:v>4.8</c:v>
                </c:pt>
                <c:pt idx="65">
                  <c:v>4.2</c:v>
                </c:pt>
              </c:numCache>
            </c:numRef>
          </c:yVal>
          <c:smooth val="0"/>
          <c:extLst>
            <c:ext xmlns:c16="http://schemas.microsoft.com/office/drawing/2014/chart" uri="{C3380CC4-5D6E-409C-BE32-E72D297353CC}">
              <c16:uniqueId val="{00000000-6AA4-4078-BA63-BA5E555653D9}"/>
            </c:ext>
          </c:extLst>
        </c:ser>
        <c:dLbls>
          <c:showLegendKey val="0"/>
          <c:showVal val="0"/>
          <c:showCatName val="0"/>
          <c:showSerName val="0"/>
          <c:showPercent val="0"/>
          <c:showBubbleSize val="0"/>
        </c:dLbls>
        <c:axId val="616962280"/>
        <c:axId val="616962640"/>
      </c:scatterChart>
      <c:valAx>
        <c:axId val="616962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System Uptime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6962640"/>
        <c:crosses val="autoZero"/>
        <c:crossBetween val="midCat"/>
      </c:valAx>
      <c:valAx>
        <c:axId val="61696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Community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6962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092902821857948"/>
          <c:y val="6.2857142857142861E-2"/>
          <c:w val="0.84643384372355246"/>
          <c:h val="0.75815253093363333"/>
        </c:manualLayout>
      </c:layout>
      <c:scatterChart>
        <c:scatterStyle val="lineMarker"/>
        <c:varyColors val="0"/>
        <c:ser>
          <c:idx val="0"/>
          <c:order val="0"/>
          <c:spPr>
            <a:ln w="381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Chart!$A$101:$A$172</c:f>
              <c:numCache>
                <c:formatCode>General</c:formatCode>
                <c:ptCount val="72"/>
                <c:pt idx="0">
                  <c:v>30</c:v>
                </c:pt>
                <c:pt idx="1">
                  <c:v>31</c:v>
                </c:pt>
                <c:pt idx="2">
                  <c:v>36</c:v>
                </c:pt>
                <c:pt idx="3">
                  <c:v>37</c:v>
                </c:pt>
                <c:pt idx="4">
                  <c:v>57</c:v>
                </c:pt>
                <c:pt idx="5">
                  <c:v>61</c:v>
                </c:pt>
                <c:pt idx="6">
                  <c:v>64</c:v>
                </c:pt>
                <c:pt idx="7">
                  <c:v>66</c:v>
                </c:pt>
                <c:pt idx="8">
                  <c:v>70</c:v>
                </c:pt>
                <c:pt idx="9">
                  <c:v>71</c:v>
                </c:pt>
                <c:pt idx="10">
                  <c:v>73</c:v>
                </c:pt>
                <c:pt idx="11">
                  <c:v>79</c:v>
                </c:pt>
                <c:pt idx="12">
                  <c:v>93</c:v>
                </c:pt>
                <c:pt idx="13">
                  <c:v>96</c:v>
                </c:pt>
                <c:pt idx="14">
                  <c:v>105</c:v>
                </c:pt>
                <c:pt idx="15">
                  <c:v>106</c:v>
                </c:pt>
                <c:pt idx="16">
                  <c:v>110</c:v>
                </c:pt>
                <c:pt idx="17">
                  <c:v>112</c:v>
                </c:pt>
                <c:pt idx="18">
                  <c:v>114</c:v>
                </c:pt>
                <c:pt idx="19">
                  <c:v>119</c:v>
                </c:pt>
                <c:pt idx="20">
                  <c:v>121</c:v>
                </c:pt>
                <c:pt idx="21">
                  <c:v>123</c:v>
                </c:pt>
                <c:pt idx="22">
                  <c:v>125</c:v>
                </c:pt>
                <c:pt idx="23">
                  <c:v>126</c:v>
                </c:pt>
                <c:pt idx="24">
                  <c:v>129</c:v>
                </c:pt>
                <c:pt idx="25">
                  <c:v>131</c:v>
                </c:pt>
                <c:pt idx="26">
                  <c:v>142</c:v>
                </c:pt>
                <c:pt idx="27">
                  <c:v>143</c:v>
                </c:pt>
                <c:pt idx="28">
                  <c:v>151</c:v>
                </c:pt>
                <c:pt idx="29">
                  <c:v>159</c:v>
                </c:pt>
                <c:pt idx="30">
                  <c:v>160</c:v>
                </c:pt>
                <c:pt idx="31">
                  <c:v>166</c:v>
                </c:pt>
                <c:pt idx="32">
                  <c:v>170</c:v>
                </c:pt>
                <c:pt idx="33">
                  <c:v>183</c:v>
                </c:pt>
                <c:pt idx="34">
                  <c:v>190</c:v>
                </c:pt>
                <c:pt idx="35">
                  <c:v>191</c:v>
                </c:pt>
                <c:pt idx="36">
                  <c:v>200</c:v>
                </c:pt>
                <c:pt idx="37">
                  <c:v>203</c:v>
                </c:pt>
                <c:pt idx="38">
                  <c:v>204</c:v>
                </c:pt>
                <c:pt idx="39">
                  <c:v>205</c:v>
                </c:pt>
                <c:pt idx="40">
                  <c:v>208</c:v>
                </c:pt>
                <c:pt idx="41">
                  <c:v>214</c:v>
                </c:pt>
                <c:pt idx="42">
                  <c:v>216</c:v>
                </c:pt>
                <c:pt idx="43">
                  <c:v>219</c:v>
                </c:pt>
                <c:pt idx="44">
                  <c:v>228</c:v>
                </c:pt>
                <c:pt idx="45">
                  <c:v>229</c:v>
                </c:pt>
                <c:pt idx="46">
                  <c:v>234</c:v>
                </c:pt>
                <c:pt idx="47">
                  <c:v>236</c:v>
                </c:pt>
                <c:pt idx="48">
                  <c:v>240</c:v>
                </c:pt>
                <c:pt idx="49">
                  <c:v>241</c:v>
                </c:pt>
                <c:pt idx="50">
                  <c:v>256</c:v>
                </c:pt>
                <c:pt idx="51">
                  <c:v>263</c:v>
                </c:pt>
                <c:pt idx="52">
                  <c:v>265</c:v>
                </c:pt>
                <c:pt idx="53">
                  <c:v>273</c:v>
                </c:pt>
                <c:pt idx="54">
                  <c:v>281</c:v>
                </c:pt>
                <c:pt idx="55">
                  <c:v>284</c:v>
                </c:pt>
                <c:pt idx="56">
                  <c:v>291</c:v>
                </c:pt>
                <c:pt idx="57">
                  <c:v>292</c:v>
                </c:pt>
                <c:pt idx="58">
                  <c:v>298</c:v>
                </c:pt>
                <c:pt idx="59">
                  <c:v>302</c:v>
                </c:pt>
                <c:pt idx="60">
                  <c:v>305</c:v>
                </c:pt>
                <c:pt idx="61">
                  <c:v>310</c:v>
                </c:pt>
                <c:pt idx="62">
                  <c:v>313</c:v>
                </c:pt>
                <c:pt idx="63">
                  <c:v>317</c:v>
                </c:pt>
                <c:pt idx="64">
                  <c:v>318</c:v>
                </c:pt>
                <c:pt idx="65">
                  <c:v>326</c:v>
                </c:pt>
                <c:pt idx="66">
                  <c:v>330</c:v>
                </c:pt>
                <c:pt idx="67">
                  <c:v>332</c:v>
                </c:pt>
                <c:pt idx="68">
                  <c:v>343</c:v>
                </c:pt>
                <c:pt idx="69">
                  <c:v>344</c:v>
                </c:pt>
                <c:pt idx="70">
                  <c:v>348</c:v>
                </c:pt>
                <c:pt idx="71">
                  <c:v>349</c:v>
                </c:pt>
              </c:numCache>
            </c:numRef>
          </c:xVal>
          <c:yVal>
            <c:numRef>
              <c:f>Chart!$B$101:$B$172</c:f>
              <c:numCache>
                <c:formatCode>General</c:formatCode>
                <c:ptCount val="72"/>
                <c:pt idx="0">
                  <c:v>78</c:v>
                </c:pt>
                <c:pt idx="1">
                  <c:v>69</c:v>
                </c:pt>
                <c:pt idx="2">
                  <c:v>86</c:v>
                </c:pt>
                <c:pt idx="3">
                  <c:v>51</c:v>
                </c:pt>
                <c:pt idx="4">
                  <c:v>66</c:v>
                </c:pt>
                <c:pt idx="5">
                  <c:v>29</c:v>
                </c:pt>
                <c:pt idx="6">
                  <c:v>33</c:v>
                </c:pt>
                <c:pt idx="7">
                  <c:v>68</c:v>
                </c:pt>
                <c:pt idx="8">
                  <c:v>15</c:v>
                </c:pt>
                <c:pt idx="9">
                  <c:v>109</c:v>
                </c:pt>
                <c:pt idx="10">
                  <c:v>57</c:v>
                </c:pt>
                <c:pt idx="11">
                  <c:v>38</c:v>
                </c:pt>
                <c:pt idx="12">
                  <c:v>28</c:v>
                </c:pt>
                <c:pt idx="13">
                  <c:v>9</c:v>
                </c:pt>
                <c:pt idx="14">
                  <c:v>27</c:v>
                </c:pt>
                <c:pt idx="15">
                  <c:v>73</c:v>
                </c:pt>
                <c:pt idx="16">
                  <c:v>50</c:v>
                </c:pt>
                <c:pt idx="17">
                  <c:v>7</c:v>
                </c:pt>
                <c:pt idx="18">
                  <c:v>64</c:v>
                </c:pt>
                <c:pt idx="19">
                  <c:v>38</c:v>
                </c:pt>
                <c:pt idx="20">
                  <c:v>22</c:v>
                </c:pt>
                <c:pt idx="21">
                  <c:v>30</c:v>
                </c:pt>
                <c:pt idx="22">
                  <c:v>92</c:v>
                </c:pt>
                <c:pt idx="23">
                  <c:v>34</c:v>
                </c:pt>
                <c:pt idx="24">
                  <c:v>27</c:v>
                </c:pt>
                <c:pt idx="25">
                  <c:v>59</c:v>
                </c:pt>
                <c:pt idx="26">
                  <c:v>18</c:v>
                </c:pt>
                <c:pt idx="27">
                  <c:v>54</c:v>
                </c:pt>
                <c:pt idx="28">
                  <c:v>20</c:v>
                </c:pt>
                <c:pt idx="29">
                  <c:v>53</c:v>
                </c:pt>
                <c:pt idx="30">
                  <c:v>39</c:v>
                </c:pt>
                <c:pt idx="31">
                  <c:v>9</c:v>
                </c:pt>
                <c:pt idx="32">
                  <c:v>33</c:v>
                </c:pt>
                <c:pt idx="33">
                  <c:v>46</c:v>
                </c:pt>
                <c:pt idx="34">
                  <c:v>16</c:v>
                </c:pt>
                <c:pt idx="35">
                  <c:v>25</c:v>
                </c:pt>
                <c:pt idx="36">
                  <c:v>50</c:v>
                </c:pt>
                <c:pt idx="37">
                  <c:v>12</c:v>
                </c:pt>
                <c:pt idx="38">
                  <c:v>65</c:v>
                </c:pt>
                <c:pt idx="39">
                  <c:v>40</c:v>
                </c:pt>
                <c:pt idx="40">
                  <c:v>31</c:v>
                </c:pt>
                <c:pt idx="41">
                  <c:v>8</c:v>
                </c:pt>
                <c:pt idx="42">
                  <c:v>21</c:v>
                </c:pt>
                <c:pt idx="43">
                  <c:v>57</c:v>
                </c:pt>
                <c:pt idx="44">
                  <c:v>24</c:v>
                </c:pt>
                <c:pt idx="45">
                  <c:v>31</c:v>
                </c:pt>
                <c:pt idx="46">
                  <c:v>14</c:v>
                </c:pt>
                <c:pt idx="47">
                  <c:v>64</c:v>
                </c:pt>
                <c:pt idx="48">
                  <c:v>35</c:v>
                </c:pt>
                <c:pt idx="49">
                  <c:v>71</c:v>
                </c:pt>
                <c:pt idx="50">
                  <c:v>46</c:v>
                </c:pt>
                <c:pt idx="51">
                  <c:v>39</c:v>
                </c:pt>
                <c:pt idx="52">
                  <c:v>37</c:v>
                </c:pt>
                <c:pt idx="53">
                  <c:v>34</c:v>
                </c:pt>
                <c:pt idx="54">
                  <c:v>48</c:v>
                </c:pt>
                <c:pt idx="55">
                  <c:v>52</c:v>
                </c:pt>
                <c:pt idx="56">
                  <c:v>57</c:v>
                </c:pt>
                <c:pt idx="57">
                  <c:v>78</c:v>
                </c:pt>
                <c:pt idx="58">
                  <c:v>76</c:v>
                </c:pt>
                <c:pt idx="59">
                  <c:v>70</c:v>
                </c:pt>
                <c:pt idx="60">
                  <c:v>38</c:v>
                </c:pt>
                <c:pt idx="61">
                  <c:v>73</c:v>
                </c:pt>
                <c:pt idx="62">
                  <c:v>65</c:v>
                </c:pt>
                <c:pt idx="63">
                  <c:v>13</c:v>
                </c:pt>
                <c:pt idx="64">
                  <c:v>29</c:v>
                </c:pt>
                <c:pt idx="65">
                  <c:v>63</c:v>
                </c:pt>
                <c:pt idx="66">
                  <c:v>56</c:v>
                </c:pt>
                <c:pt idx="67">
                  <c:v>55</c:v>
                </c:pt>
                <c:pt idx="68">
                  <c:v>61</c:v>
                </c:pt>
                <c:pt idx="69">
                  <c:v>48</c:v>
                </c:pt>
                <c:pt idx="70">
                  <c:v>39</c:v>
                </c:pt>
                <c:pt idx="71">
                  <c:v>44</c:v>
                </c:pt>
              </c:numCache>
            </c:numRef>
          </c:yVal>
          <c:smooth val="0"/>
          <c:extLst>
            <c:ext xmlns:c16="http://schemas.microsoft.com/office/drawing/2014/chart" uri="{C3380CC4-5D6E-409C-BE32-E72D297353CC}">
              <c16:uniqueId val="{00000001-9D76-4BB7-92F5-8ECE0D1C89B5}"/>
            </c:ext>
          </c:extLst>
        </c:ser>
        <c:dLbls>
          <c:showLegendKey val="0"/>
          <c:showVal val="0"/>
          <c:showCatName val="0"/>
          <c:showSerName val="0"/>
          <c:showPercent val="0"/>
          <c:showBubbleSize val="0"/>
        </c:dLbls>
        <c:axId val="679181168"/>
        <c:axId val="679175048"/>
      </c:scatterChart>
      <c:valAx>
        <c:axId val="67918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People Trained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9175048"/>
        <c:crosses val="autoZero"/>
        <c:crossBetween val="midCat"/>
      </c:valAx>
      <c:valAx>
        <c:axId val="679175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Local Jobs Created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9181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[M&amp;E Analysis_New.xlsx]Chart!PivotTable6</c:name>
    <c:fmtId val="3"/>
  </c:pivotSource>
  <c:chart>
    <c:autoTitleDeleted val="1"/>
    <c:pivotFmts>
      <c:pivotFmt>
        <c:idx val="0"/>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Chart!$O$4</c:f>
              <c:strCache>
                <c:ptCount val="1"/>
                <c:pt idx="0">
                  <c:v>Total</c:v>
                </c:pt>
              </c:strCache>
            </c:strRef>
          </c:tx>
          <c:spPr>
            <a:solidFill>
              <a:srgbClr val="1054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Chart!$N$5:$N$11</c:f>
              <c:strCache>
                <c:ptCount val="6"/>
                <c:pt idx="0">
                  <c:v>Community Energy Access</c:v>
                </c:pt>
                <c:pt idx="1">
                  <c:v>Solar Backup System</c:v>
                </c:pt>
                <c:pt idx="2">
                  <c:v>Solar Water Pump</c:v>
                </c:pt>
                <c:pt idx="3">
                  <c:v>Solar Mini-grid</c:v>
                </c:pt>
                <c:pt idx="4">
                  <c:v>Institutional Capacity Building</c:v>
                </c:pt>
                <c:pt idx="5">
                  <c:v>Skills Training</c:v>
                </c:pt>
              </c:strCache>
            </c:strRef>
          </c:cat>
          <c:val>
            <c:numRef>
              <c:f>Chart!$O$5:$O$11</c:f>
              <c:numCache>
                <c:formatCode>General</c:formatCode>
                <c:ptCount val="6"/>
                <c:pt idx="0">
                  <c:v>17</c:v>
                </c:pt>
                <c:pt idx="1">
                  <c:v>15</c:v>
                </c:pt>
                <c:pt idx="2">
                  <c:v>15</c:v>
                </c:pt>
                <c:pt idx="3">
                  <c:v>12</c:v>
                </c:pt>
                <c:pt idx="4">
                  <c:v>12</c:v>
                </c:pt>
                <c:pt idx="5">
                  <c:v>9</c:v>
                </c:pt>
              </c:numCache>
            </c:numRef>
          </c:val>
          <c:extLst>
            <c:ext xmlns:c16="http://schemas.microsoft.com/office/drawing/2014/chart" uri="{C3380CC4-5D6E-409C-BE32-E72D297353CC}">
              <c16:uniqueId val="{00000000-83C2-4E41-94F8-DD3BC6C5B705}"/>
            </c:ext>
          </c:extLst>
        </c:ser>
        <c:dLbls>
          <c:showLegendKey val="0"/>
          <c:showVal val="0"/>
          <c:showCatName val="0"/>
          <c:showSerName val="0"/>
          <c:showPercent val="0"/>
          <c:showBubbleSize val="0"/>
        </c:dLbls>
        <c:gapWidth val="167"/>
        <c:overlap val="-27"/>
        <c:axId val="857788352"/>
        <c:axId val="857784392"/>
      </c:barChart>
      <c:catAx>
        <c:axId val="8577883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784392"/>
        <c:crosses val="autoZero"/>
        <c:auto val="1"/>
        <c:lblAlgn val="ctr"/>
        <c:lblOffset val="100"/>
        <c:noMultiLvlLbl val="0"/>
      </c:catAx>
      <c:valAx>
        <c:axId val="857784392"/>
        <c:scaling>
          <c:orientation val="minMax"/>
        </c:scaling>
        <c:delete val="1"/>
        <c:axPos val="l"/>
        <c:numFmt formatCode="General" sourceLinked="1"/>
        <c:majorTickMark val="none"/>
        <c:minorTickMark val="none"/>
        <c:tickLblPos val="nextTo"/>
        <c:crossAx val="85778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[M&amp;E Analysis_New.xlsx]Chart!PivotTable14</c:name>
    <c:fmtId val="5"/>
  </c:pivotSource>
  <c:chart>
    <c:autoTitleDeleted val="0"/>
    <c:pivotFmts>
      <c:pivotFmt>
        <c:idx val="0"/>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895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A7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895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1A7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054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895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1A7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Chart!$S$28</c:f>
              <c:strCache>
                <c:ptCount val="1"/>
                <c:pt idx="0">
                  <c:v>Average of Target_Achievement_Rate</c:v>
                </c:pt>
              </c:strCache>
            </c:strRef>
          </c:tx>
          <c:spPr>
            <a:solidFill>
              <a:srgbClr val="105442"/>
            </a:solidFill>
            <a:ln>
              <a:noFill/>
            </a:ln>
            <a:effectLst/>
          </c:spPr>
          <c:invertIfNegative val="0"/>
          <c:cat>
            <c:strRef>
              <c:f>Chart!$R$29:$R$36</c:f>
              <c:strCache>
                <c:ptCount val="7"/>
                <c:pt idx="0">
                  <c:v>Anambra</c:v>
                </c:pt>
                <c:pt idx="1">
                  <c:v>Delta</c:v>
                </c:pt>
                <c:pt idx="2">
                  <c:v>Edo</c:v>
                </c:pt>
                <c:pt idx="3">
                  <c:v>Enugu</c:v>
                </c:pt>
                <c:pt idx="4">
                  <c:v>Kwara</c:v>
                </c:pt>
                <c:pt idx="5">
                  <c:v>Oyo</c:v>
                </c:pt>
                <c:pt idx="6">
                  <c:v>Rivers</c:v>
                </c:pt>
              </c:strCache>
            </c:strRef>
          </c:cat>
          <c:val>
            <c:numRef>
              <c:f>Chart!$S$29:$S$36</c:f>
              <c:numCache>
                <c:formatCode>0.00%</c:formatCode>
                <c:ptCount val="7"/>
                <c:pt idx="0">
                  <c:v>0.97008090353331156</c:v>
                </c:pt>
                <c:pt idx="1">
                  <c:v>1.0356720385942377</c:v>
                </c:pt>
                <c:pt idx="2">
                  <c:v>1.0057101665874113</c:v>
                </c:pt>
                <c:pt idx="3">
                  <c:v>0.95740461089298312</c:v>
                </c:pt>
                <c:pt idx="4">
                  <c:v>0.98932960924353164</c:v>
                </c:pt>
                <c:pt idx="5">
                  <c:v>1.0203818251763457</c:v>
                </c:pt>
                <c:pt idx="6">
                  <c:v>1.0211508921186341</c:v>
                </c:pt>
              </c:numCache>
            </c:numRef>
          </c:val>
          <c:extLst>
            <c:ext xmlns:c16="http://schemas.microsoft.com/office/drawing/2014/chart" uri="{C3380CC4-5D6E-409C-BE32-E72D297353CC}">
              <c16:uniqueId val="{00000000-899B-4B1E-A1A0-E99C86D51DC0}"/>
            </c:ext>
          </c:extLst>
        </c:ser>
        <c:ser>
          <c:idx val="1"/>
          <c:order val="1"/>
          <c:tx>
            <c:strRef>
              <c:f>Chart!$T$28</c:f>
              <c:strCache>
                <c:ptCount val="1"/>
                <c:pt idx="0">
                  <c:v>Average of Clean_Energy _Access_Rate</c:v>
                </c:pt>
              </c:strCache>
            </c:strRef>
          </c:tx>
          <c:spPr>
            <a:solidFill>
              <a:srgbClr val="C89528"/>
            </a:solidFill>
            <a:ln>
              <a:noFill/>
            </a:ln>
            <a:effectLst/>
          </c:spPr>
          <c:invertIfNegative val="0"/>
          <c:cat>
            <c:strRef>
              <c:f>Chart!$R$29:$R$36</c:f>
              <c:strCache>
                <c:ptCount val="7"/>
                <c:pt idx="0">
                  <c:v>Anambra</c:v>
                </c:pt>
                <c:pt idx="1">
                  <c:v>Delta</c:v>
                </c:pt>
                <c:pt idx="2">
                  <c:v>Edo</c:v>
                </c:pt>
                <c:pt idx="3">
                  <c:v>Enugu</c:v>
                </c:pt>
                <c:pt idx="4">
                  <c:v>Kwara</c:v>
                </c:pt>
                <c:pt idx="5">
                  <c:v>Oyo</c:v>
                </c:pt>
                <c:pt idx="6">
                  <c:v>Rivers</c:v>
                </c:pt>
              </c:strCache>
            </c:strRef>
          </c:cat>
          <c:val>
            <c:numRef>
              <c:f>Chart!$T$29:$T$36</c:f>
              <c:numCache>
                <c:formatCode>0.00%</c:formatCode>
                <c:ptCount val="7"/>
                <c:pt idx="0">
                  <c:v>0.83445933484675161</c:v>
                </c:pt>
                <c:pt idx="1">
                  <c:v>0.84101310293792886</c:v>
                </c:pt>
                <c:pt idx="2">
                  <c:v>0.75998625961466726</c:v>
                </c:pt>
                <c:pt idx="3">
                  <c:v>0.80768380508447846</c:v>
                </c:pt>
                <c:pt idx="4">
                  <c:v>0.80758074224081644</c:v>
                </c:pt>
                <c:pt idx="5">
                  <c:v>0.79131769896690252</c:v>
                </c:pt>
                <c:pt idx="6">
                  <c:v>0.87297007268463322</c:v>
                </c:pt>
              </c:numCache>
            </c:numRef>
          </c:val>
          <c:extLst>
            <c:ext xmlns:c16="http://schemas.microsoft.com/office/drawing/2014/chart" uri="{C3380CC4-5D6E-409C-BE32-E72D297353CC}">
              <c16:uniqueId val="{00000001-899B-4B1E-A1A0-E99C86D51DC0}"/>
            </c:ext>
          </c:extLst>
        </c:ser>
        <c:ser>
          <c:idx val="2"/>
          <c:order val="2"/>
          <c:tx>
            <c:strRef>
              <c:f>Chart!$U$28</c:f>
              <c:strCache>
                <c:ptCount val="1"/>
                <c:pt idx="0">
                  <c:v>Average of System_Uptime_%</c:v>
                </c:pt>
              </c:strCache>
            </c:strRef>
          </c:tx>
          <c:spPr>
            <a:solidFill>
              <a:srgbClr val="61A786"/>
            </a:solidFill>
            <a:ln>
              <a:noFill/>
            </a:ln>
            <a:effectLst/>
          </c:spPr>
          <c:invertIfNegative val="0"/>
          <c:cat>
            <c:strRef>
              <c:f>Chart!$R$29:$R$36</c:f>
              <c:strCache>
                <c:ptCount val="7"/>
                <c:pt idx="0">
                  <c:v>Anambra</c:v>
                </c:pt>
                <c:pt idx="1">
                  <c:v>Delta</c:v>
                </c:pt>
                <c:pt idx="2">
                  <c:v>Edo</c:v>
                </c:pt>
                <c:pt idx="3">
                  <c:v>Enugu</c:v>
                </c:pt>
                <c:pt idx="4">
                  <c:v>Kwara</c:v>
                </c:pt>
                <c:pt idx="5">
                  <c:v>Oyo</c:v>
                </c:pt>
                <c:pt idx="6">
                  <c:v>Rivers</c:v>
                </c:pt>
              </c:strCache>
            </c:strRef>
          </c:cat>
          <c:val>
            <c:numRef>
              <c:f>Chart!$U$29:$U$36</c:f>
              <c:numCache>
                <c:formatCode>0.00%</c:formatCode>
                <c:ptCount val="7"/>
                <c:pt idx="0">
                  <c:v>0.86481818181818182</c:v>
                </c:pt>
                <c:pt idx="1">
                  <c:v>0.85599999999999987</c:v>
                </c:pt>
                <c:pt idx="2">
                  <c:v>0.89433333333333331</c:v>
                </c:pt>
                <c:pt idx="3">
                  <c:v>0.91999999999999993</c:v>
                </c:pt>
                <c:pt idx="4">
                  <c:v>0.87009090909090925</c:v>
                </c:pt>
                <c:pt idx="5">
                  <c:v>0.84824999999999995</c:v>
                </c:pt>
                <c:pt idx="6">
                  <c:v>0.84</c:v>
                </c:pt>
              </c:numCache>
            </c:numRef>
          </c:val>
          <c:extLst>
            <c:ext xmlns:c16="http://schemas.microsoft.com/office/drawing/2014/chart" uri="{C3380CC4-5D6E-409C-BE32-E72D297353CC}">
              <c16:uniqueId val="{00000002-899B-4B1E-A1A0-E99C86D51DC0}"/>
            </c:ext>
          </c:extLst>
        </c:ser>
        <c:dLbls>
          <c:showLegendKey val="0"/>
          <c:showVal val="0"/>
          <c:showCatName val="0"/>
          <c:showSerName val="0"/>
          <c:showPercent val="0"/>
          <c:showBubbleSize val="0"/>
        </c:dLbls>
        <c:gapWidth val="109"/>
        <c:overlap val="3"/>
        <c:axId val="857784752"/>
        <c:axId val="857790872"/>
      </c:barChart>
      <c:catAx>
        <c:axId val="85778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790872"/>
        <c:crosses val="autoZero"/>
        <c:auto val="1"/>
        <c:lblAlgn val="ctr"/>
        <c:lblOffset val="100"/>
        <c:noMultiLvlLbl val="0"/>
      </c:catAx>
      <c:valAx>
        <c:axId val="8577908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7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1.svg"/><Relationship Id="rId18" Type="http://schemas.openxmlformats.org/officeDocument/2006/relationships/hyperlink" Target="#'Working Dataset'!A1"/><Relationship Id="rId26" Type="http://schemas.openxmlformats.org/officeDocument/2006/relationships/image" Target="../media/image23.svg"/><Relationship Id="rId39" Type="http://schemas.openxmlformats.org/officeDocument/2006/relationships/image" Target="../media/image33.svg"/><Relationship Id="rId3" Type="http://schemas.openxmlformats.org/officeDocument/2006/relationships/image" Target="../media/image3.png"/><Relationship Id="rId21" Type="http://schemas.openxmlformats.org/officeDocument/2006/relationships/image" Target="../media/image18.png"/><Relationship Id="rId34" Type="http://schemas.openxmlformats.org/officeDocument/2006/relationships/image" Target="../media/image30.png"/><Relationship Id="rId42" Type="http://schemas.openxmlformats.org/officeDocument/2006/relationships/chart" Target="../charts/chart6.xml"/><Relationship Id="rId7" Type="http://schemas.openxmlformats.org/officeDocument/2006/relationships/image" Target="../media/image6.png"/><Relationship Id="rId12" Type="http://schemas.openxmlformats.org/officeDocument/2006/relationships/image" Target="../media/image10.png"/><Relationship Id="rId17" Type="http://schemas.openxmlformats.org/officeDocument/2006/relationships/image" Target="../media/image15.svg"/><Relationship Id="rId25" Type="http://schemas.openxmlformats.org/officeDocument/2006/relationships/image" Target="../media/image22.png"/><Relationship Id="rId33" Type="http://schemas.openxmlformats.org/officeDocument/2006/relationships/chart" Target="../charts/chart1.xml"/><Relationship Id="rId38" Type="http://schemas.openxmlformats.org/officeDocument/2006/relationships/image" Target="../media/image32.png"/><Relationship Id="rId2" Type="http://schemas.openxmlformats.org/officeDocument/2006/relationships/image" Target="../media/image2.svg"/><Relationship Id="rId16" Type="http://schemas.openxmlformats.org/officeDocument/2006/relationships/image" Target="../media/image14.png"/><Relationship Id="rId20" Type="http://schemas.openxmlformats.org/officeDocument/2006/relationships/image" Target="../media/image17.svg"/><Relationship Id="rId29" Type="http://schemas.openxmlformats.org/officeDocument/2006/relationships/image" Target="../media/image26.png"/><Relationship Id="rId41"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9.svg"/><Relationship Id="rId24" Type="http://schemas.openxmlformats.org/officeDocument/2006/relationships/image" Target="../media/image21.svg"/><Relationship Id="rId32" Type="http://schemas.openxmlformats.org/officeDocument/2006/relationships/image" Target="../media/image29.svg"/><Relationship Id="rId37" Type="http://schemas.openxmlformats.org/officeDocument/2006/relationships/chart" Target="../charts/chart3.xml"/><Relationship Id="rId40"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3.svg"/><Relationship Id="rId23" Type="http://schemas.openxmlformats.org/officeDocument/2006/relationships/image" Target="../media/image20.png"/><Relationship Id="rId28" Type="http://schemas.openxmlformats.org/officeDocument/2006/relationships/image" Target="../media/image25.svg"/><Relationship Id="rId36" Type="http://schemas.openxmlformats.org/officeDocument/2006/relationships/chart" Target="../charts/chart2.xml"/><Relationship Id="rId10" Type="http://schemas.openxmlformats.org/officeDocument/2006/relationships/image" Target="../media/image8.png"/><Relationship Id="rId19" Type="http://schemas.openxmlformats.org/officeDocument/2006/relationships/image" Target="../media/image16.png"/><Relationship Id="rId31" Type="http://schemas.openxmlformats.org/officeDocument/2006/relationships/image" Target="../media/image28.png"/><Relationship Id="rId4" Type="http://schemas.openxmlformats.org/officeDocument/2006/relationships/image" Target="../media/image4.svg"/><Relationship Id="rId9" Type="http://schemas.openxmlformats.org/officeDocument/2006/relationships/hyperlink" Target="#'Final Recommendations'!A1"/><Relationship Id="rId14" Type="http://schemas.openxmlformats.org/officeDocument/2006/relationships/image" Target="../media/image12.png"/><Relationship Id="rId22" Type="http://schemas.openxmlformats.org/officeDocument/2006/relationships/image" Target="../media/image19.svg"/><Relationship Id="rId27" Type="http://schemas.openxmlformats.org/officeDocument/2006/relationships/image" Target="../media/image24.png"/><Relationship Id="rId30" Type="http://schemas.openxmlformats.org/officeDocument/2006/relationships/image" Target="../media/image27.svg"/><Relationship Id="rId35" Type="http://schemas.openxmlformats.org/officeDocument/2006/relationships/image" Target="../media/image31.svg"/></Relationships>
</file>

<file path=xl/drawings/drawing1.xml><?xml version="1.0" encoding="utf-8"?>
<xdr:wsDr xmlns:xdr="http://schemas.openxmlformats.org/drawingml/2006/spreadsheetDrawing" xmlns:a="http://schemas.openxmlformats.org/drawingml/2006/main">
  <xdr:twoCellAnchor>
    <xdr:from>
      <xdr:col>0</xdr:col>
      <xdr:colOff>381000</xdr:colOff>
      <xdr:row>1</xdr:row>
      <xdr:rowOff>66675</xdr:rowOff>
    </xdr:from>
    <xdr:to>
      <xdr:col>10</xdr:col>
      <xdr:colOff>38100</xdr:colOff>
      <xdr:row>26</xdr:row>
      <xdr:rowOff>180975</xdr:rowOff>
    </xdr:to>
    <xdr:sp macro="" textlink="">
      <xdr:nvSpPr>
        <xdr:cNvPr id="2" name="Rectangle 1">
          <a:extLst>
            <a:ext uri="{FF2B5EF4-FFF2-40B4-BE49-F238E27FC236}">
              <a16:creationId xmlns:a16="http://schemas.microsoft.com/office/drawing/2014/main" id="{5D343258-14AD-4BC8-B2A6-FE3B3B6004A6}"/>
            </a:ext>
          </a:extLst>
        </xdr:cNvPr>
        <xdr:cNvSpPr/>
      </xdr:nvSpPr>
      <xdr:spPr>
        <a:xfrm>
          <a:off x="381000" y="2571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133350</xdr:colOff>
      <xdr:row>1</xdr:row>
      <xdr:rowOff>66675</xdr:rowOff>
    </xdr:from>
    <xdr:to>
      <xdr:col>19</xdr:col>
      <xdr:colOff>400050</xdr:colOff>
      <xdr:row>26</xdr:row>
      <xdr:rowOff>180975</xdr:rowOff>
    </xdr:to>
    <xdr:sp macro="" textlink="">
      <xdr:nvSpPr>
        <xdr:cNvPr id="3" name="Rectangle 2">
          <a:extLst>
            <a:ext uri="{FF2B5EF4-FFF2-40B4-BE49-F238E27FC236}">
              <a16:creationId xmlns:a16="http://schemas.microsoft.com/office/drawing/2014/main" id="{2C4744E7-6870-4E7F-9665-199D76A3D349}"/>
            </a:ext>
          </a:extLst>
        </xdr:cNvPr>
        <xdr:cNvSpPr/>
      </xdr:nvSpPr>
      <xdr:spPr>
        <a:xfrm>
          <a:off x="6229350" y="257175"/>
          <a:ext cx="5753100" cy="48768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9524</xdr:colOff>
      <xdr:row>1</xdr:row>
      <xdr:rowOff>66675</xdr:rowOff>
    </xdr:from>
    <xdr:to>
      <xdr:col>6</xdr:col>
      <xdr:colOff>590549</xdr:colOff>
      <xdr:row>3</xdr:row>
      <xdr:rowOff>69966</xdr:rowOff>
    </xdr:to>
    <xdr:sp macro="" textlink="">
      <xdr:nvSpPr>
        <xdr:cNvPr id="4" name="TextBox 3">
          <a:extLst>
            <a:ext uri="{FF2B5EF4-FFF2-40B4-BE49-F238E27FC236}">
              <a16:creationId xmlns:a16="http://schemas.microsoft.com/office/drawing/2014/main" id="{C1DC3A08-86A1-4572-B478-671E00543DF4}"/>
            </a:ext>
          </a:extLst>
        </xdr:cNvPr>
        <xdr:cNvSpPr txBox="1"/>
      </xdr:nvSpPr>
      <xdr:spPr>
        <a:xfrm>
          <a:off x="1838324" y="257175"/>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Project Split</a:t>
          </a:r>
        </a:p>
      </xdr:txBody>
    </xdr:sp>
    <xdr:clientData/>
  </xdr:twoCellAnchor>
  <xdr:twoCellAnchor>
    <xdr:from>
      <xdr:col>0</xdr:col>
      <xdr:colOff>428625</xdr:colOff>
      <xdr:row>2</xdr:row>
      <xdr:rowOff>180975</xdr:rowOff>
    </xdr:from>
    <xdr:to>
      <xdr:col>3</xdr:col>
      <xdr:colOff>142875</xdr:colOff>
      <xdr:row>4</xdr:row>
      <xdr:rowOff>76200</xdr:rowOff>
    </xdr:to>
    <xdr:sp macro="" textlink="">
      <xdr:nvSpPr>
        <xdr:cNvPr id="5" name="TextBox 4">
          <a:extLst>
            <a:ext uri="{FF2B5EF4-FFF2-40B4-BE49-F238E27FC236}">
              <a16:creationId xmlns:a16="http://schemas.microsoft.com/office/drawing/2014/main" id="{D354AFAC-AB4B-4CE0-A0A5-042C00BE2799}"/>
            </a:ext>
          </a:extLst>
        </xdr:cNvPr>
        <xdr:cNvSpPr txBox="1"/>
      </xdr:nvSpPr>
      <xdr:spPr>
        <a:xfrm>
          <a:off x="428625" y="561975"/>
          <a:ext cx="15430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Dependent</a:t>
          </a:r>
          <a:r>
            <a:rPr lang="en-US" sz="1100" b="1" baseline="0"/>
            <a:t> Variables</a:t>
          </a:r>
          <a:endParaRPr lang="en-US" sz="1100" b="1"/>
        </a:p>
      </xdr:txBody>
    </xdr:sp>
    <xdr:clientData/>
  </xdr:twoCellAnchor>
  <xdr:twoCellAnchor>
    <xdr:from>
      <xdr:col>0</xdr:col>
      <xdr:colOff>390524</xdr:colOff>
      <xdr:row>4</xdr:row>
      <xdr:rowOff>95251</xdr:rowOff>
    </xdr:from>
    <xdr:to>
      <xdr:col>4</xdr:col>
      <xdr:colOff>209549</xdr:colOff>
      <xdr:row>13</xdr:row>
      <xdr:rowOff>76201</xdr:rowOff>
    </xdr:to>
    <xdr:sp macro="" textlink="">
      <xdr:nvSpPr>
        <xdr:cNvPr id="6" name="TextBox 5">
          <a:extLst>
            <a:ext uri="{FF2B5EF4-FFF2-40B4-BE49-F238E27FC236}">
              <a16:creationId xmlns:a16="http://schemas.microsoft.com/office/drawing/2014/main" id="{64D24E5D-CE0D-430D-A906-56A2FB5AFBB4}"/>
            </a:ext>
          </a:extLst>
        </xdr:cNvPr>
        <xdr:cNvSpPr txBox="1"/>
      </xdr:nvSpPr>
      <xdr:spPr>
        <a:xfrm>
          <a:off x="390524" y="857251"/>
          <a:ext cx="2257425" cy="16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1.</a:t>
          </a:r>
          <a:r>
            <a:rPr lang="en-US" sz="1000" b="0" baseline="0"/>
            <a:t> Record_ID</a:t>
          </a:r>
        </a:p>
        <a:p>
          <a:pPr algn="l"/>
          <a:r>
            <a:rPr lang="en-US" sz="1000" b="0" baseline="0"/>
            <a:t>2. Baseline_% Target_%  3.Current_Achievement_%  4.Beneficiaries Local_Jobs_Created 5.People_Trained  6.People_Gaining_Clean_Energy_Access </a:t>
          </a:r>
        </a:p>
        <a:p>
          <a:pPr algn="l"/>
          <a:r>
            <a:rPr lang="en-US" sz="1000" b="0" baseline="0"/>
            <a:t>7.System_Uptime_% 8.Community_Satisfaction</a:t>
          </a:r>
        </a:p>
        <a:p>
          <a:pPr algn="l"/>
          <a:r>
            <a:rPr lang="en-US" sz="1000" b="0" baseline="0"/>
            <a:t>9.Achievement_Gap_pp</a:t>
          </a:r>
        </a:p>
        <a:p>
          <a:pPr algn="l"/>
          <a:r>
            <a:rPr lang="en-US" sz="1000" b="0" baseline="0"/>
            <a:t>10. Target_Gap_pp </a:t>
          </a:r>
        </a:p>
      </xdr:txBody>
    </xdr:sp>
    <xdr:clientData/>
  </xdr:twoCellAnchor>
  <xdr:twoCellAnchor>
    <xdr:from>
      <xdr:col>0</xdr:col>
      <xdr:colOff>381000</xdr:colOff>
      <xdr:row>14</xdr:row>
      <xdr:rowOff>85725</xdr:rowOff>
    </xdr:from>
    <xdr:to>
      <xdr:col>3</xdr:col>
      <xdr:colOff>352424</xdr:colOff>
      <xdr:row>16</xdr:row>
      <xdr:rowOff>89016</xdr:rowOff>
    </xdr:to>
    <xdr:sp macro="" textlink="">
      <xdr:nvSpPr>
        <xdr:cNvPr id="7" name="TextBox 6">
          <a:extLst>
            <a:ext uri="{FF2B5EF4-FFF2-40B4-BE49-F238E27FC236}">
              <a16:creationId xmlns:a16="http://schemas.microsoft.com/office/drawing/2014/main" id="{013C97D5-D5A4-4F16-BC0E-2F38A76696BC}"/>
            </a:ext>
          </a:extLst>
        </xdr:cNvPr>
        <xdr:cNvSpPr txBox="1"/>
      </xdr:nvSpPr>
      <xdr:spPr>
        <a:xfrm>
          <a:off x="381000" y="2752725"/>
          <a:ext cx="1800224" cy="38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Independent</a:t>
          </a:r>
          <a:r>
            <a:rPr lang="en-US" sz="1100" b="1" baseline="0"/>
            <a:t> Variables</a:t>
          </a:r>
          <a:endParaRPr lang="en-US" sz="1100" b="1"/>
        </a:p>
      </xdr:txBody>
    </xdr:sp>
    <xdr:clientData/>
  </xdr:twoCellAnchor>
  <xdr:twoCellAnchor>
    <xdr:from>
      <xdr:col>0</xdr:col>
      <xdr:colOff>428625</xdr:colOff>
      <xdr:row>16</xdr:row>
      <xdr:rowOff>66675</xdr:rowOff>
    </xdr:from>
    <xdr:to>
      <xdr:col>3</xdr:col>
      <xdr:colOff>257175</xdr:colOff>
      <xdr:row>21</xdr:row>
      <xdr:rowOff>57150</xdr:rowOff>
    </xdr:to>
    <xdr:sp macro="" textlink="">
      <xdr:nvSpPr>
        <xdr:cNvPr id="8" name="TextBox 7">
          <a:extLst>
            <a:ext uri="{FF2B5EF4-FFF2-40B4-BE49-F238E27FC236}">
              <a16:creationId xmlns:a16="http://schemas.microsoft.com/office/drawing/2014/main" id="{7946ACB1-C566-4D80-A2FA-AD7D7A5BF7C6}"/>
            </a:ext>
          </a:extLst>
        </xdr:cNvPr>
        <xdr:cNvSpPr txBox="1"/>
      </xdr:nvSpPr>
      <xdr:spPr>
        <a:xfrm>
          <a:off x="428625" y="3114675"/>
          <a:ext cx="1657350" cy="94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1.</a:t>
          </a:r>
          <a:r>
            <a:rPr lang="en-US" sz="1000" b="0" baseline="0"/>
            <a:t> Project</a:t>
          </a:r>
        </a:p>
        <a:p>
          <a:pPr algn="l"/>
          <a:r>
            <a:rPr lang="en-US" sz="1000" b="0" baseline="0"/>
            <a:t>2. State</a:t>
          </a:r>
        </a:p>
        <a:p>
          <a:pPr algn="l"/>
          <a:r>
            <a:rPr lang="en-US" sz="1000" b="0" baseline="0"/>
            <a:t>3. Intervention</a:t>
          </a:r>
        </a:p>
        <a:p>
          <a:pPr algn="l"/>
          <a:r>
            <a:rPr lang="en-US" sz="1000" b="0" baseline="0"/>
            <a:t>4. Performance Status</a:t>
          </a:r>
        </a:p>
      </xdr:txBody>
    </xdr:sp>
    <xdr:clientData/>
  </xdr:twoCellAnchor>
  <xdr:twoCellAnchor>
    <xdr:from>
      <xdr:col>5</xdr:col>
      <xdr:colOff>285749</xdr:colOff>
      <xdr:row>3</xdr:row>
      <xdr:rowOff>28575</xdr:rowOff>
    </xdr:from>
    <xdr:to>
      <xdr:col>8</xdr:col>
      <xdr:colOff>19049</xdr:colOff>
      <xdr:row>5</xdr:row>
      <xdr:rowOff>31866</xdr:rowOff>
    </xdr:to>
    <xdr:sp macro="" textlink="">
      <xdr:nvSpPr>
        <xdr:cNvPr id="9" name="TextBox 8">
          <a:extLst>
            <a:ext uri="{FF2B5EF4-FFF2-40B4-BE49-F238E27FC236}">
              <a16:creationId xmlns:a16="http://schemas.microsoft.com/office/drawing/2014/main" id="{9814C292-0B33-461D-8263-B481CBFBBAAB}"/>
            </a:ext>
          </a:extLst>
        </xdr:cNvPr>
        <xdr:cNvSpPr txBox="1"/>
      </xdr:nvSpPr>
      <xdr:spPr>
        <a:xfrm>
          <a:off x="3333749" y="600075"/>
          <a:ext cx="1562100" cy="38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 Data Story</a:t>
          </a:r>
        </a:p>
      </xdr:txBody>
    </xdr:sp>
    <xdr:clientData/>
  </xdr:twoCellAnchor>
  <xdr:twoCellAnchor>
    <xdr:from>
      <xdr:col>4</xdr:col>
      <xdr:colOff>304800</xdr:colOff>
      <xdr:row>5</xdr:row>
      <xdr:rowOff>28576</xdr:rowOff>
    </xdr:from>
    <xdr:to>
      <xdr:col>9</xdr:col>
      <xdr:colOff>361949</xdr:colOff>
      <xdr:row>8</xdr:row>
      <xdr:rowOff>133350</xdr:rowOff>
    </xdr:to>
    <xdr:sp macro="" textlink="">
      <xdr:nvSpPr>
        <xdr:cNvPr id="10" name="TextBox 9">
          <a:extLst>
            <a:ext uri="{FF2B5EF4-FFF2-40B4-BE49-F238E27FC236}">
              <a16:creationId xmlns:a16="http://schemas.microsoft.com/office/drawing/2014/main" id="{ACCC95AC-160F-4F83-BD92-4F1AE9BA1BEC}"/>
            </a:ext>
          </a:extLst>
        </xdr:cNvPr>
        <xdr:cNvSpPr txBox="1"/>
      </xdr:nvSpPr>
      <xdr:spPr>
        <a:xfrm>
          <a:off x="2743200" y="981076"/>
          <a:ext cx="3105149" cy="67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 Which interventions are meeting their targets, where are impact gaps occurring, and what operational factors are associated with stronger community outcomes?</a:t>
          </a:r>
        </a:p>
      </xdr:txBody>
    </xdr:sp>
    <xdr:clientData/>
  </xdr:twoCellAnchor>
  <xdr:twoCellAnchor>
    <xdr:from>
      <xdr:col>4</xdr:col>
      <xdr:colOff>438149</xdr:colOff>
      <xdr:row>8</xdr:row>
      <xdr:rowOff>171451</xdr:rowOff>
    </xdr:from>
    <xdr:to>
      <xdr:col>7</xdr:col>
      <xdr:colOff>85724</xdr:colOff>
      <xdr:row>10</xdr:row>
      <xdr:rowOff>76201</xdr:rowOff>
    </xdr:to>
    <xdr:sp macro="" textlink="">
      <xdr:nvSpPr>
        <xdr:cNvPr id="11" name="TextBox 10">
          <a:extLst>
            <a:ext uri="{FF2B5EF4-FFF2-40B4-BE49-F238E27FC236}">
              <a16:creationId xmlns:a16="http://schemas.microsoft.com/office/drawing/2014/main" id="{23BF7246-1980-463F-9152-6DE988CBD021}"/>
            </a:ext>
          </a:extLst>
        </xdr:cNvPr>
        <xdr:cNvSpPr txBox="1"/>
      </xdr:nvSpPr>
      <xdr:spPr>
        <a:xfrm>
          <a:off x="2876549" y="1695451"/>
          <a:ext cx="1476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Tool Used</a:t>
          </a:r>
        </a:p>
      </xdr:txBody>
    </xdr:sp>
    <xdr:clientData/>
  </xdr:twoCellAnchor>
  <xdr:twoCellAnchor>
    <xdr:from>
      <xdr:col>4</xdr:col>
      <xdr:colOff>380999</xdr:colOff>
      <xdr:row>11</xdr:row>
      <xdr:rowOff>180976</xdr:rowOff>
    </xdr:from>
    <xdr:to>
      <xdr:col>7</xdr:col>
      <xdr:colOff>28574</xdr:colOff>
      <xdr:row>13</xdr:row>
      <xdr:rowOff>85726</xdr:rowOff>
    </xdr:to>
    <xdr:sp macro="" textlink="">
      <xdr:nvSpPr>
        <xdr:cNvPr id="12" name="TextBox 11">
          <a:extLst>
            <a:ext uri="{FF2B5EF4-FFF2-40B4-BE49-F238E27FC236}">
              <a16:creationId xmlns:a16="http://schemas.microsoft.com/office/drawing/2014/main" id="{35265E0F-D10C-4725-AC36-96391CC07868}"/>
            </a:ext>
          </a:extLst>
        </xdr:cNvPr>
        <xdr:cNvSpPr txBox="1"/>
      </xdr:nvSpPr>
      <xdr:spPr>
        <a:xfrm>
          <a:off x="2819399" y="2276476"/>
          <a:ext cx="1476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Industry</a:t>
          </a:r>
        </a:p>
      </xdr:txBody>
    </xdr:sp>
    <xdr:clientData/>
  </xdr:twoCellAnchor>
  <xdr:twoCellAnchor>
    <xdr:from>
      <xdr:col>4</xdr:col>
      <xdr:colOff>371474</xdr:colOff>
      <xdr:row>13</xdr:row>
      <xdr:rowOff>85726</xdr:rowOff>
    </xdr:from>
    <xdr:to>
      <xdr:col>9</xdr:col>
      <xdr:colOff>409574</xdr:colOff>
      <xdr:row>15</xdr:row>
      <xdr:rowOff>19050</xdr:rowOff>
    </xdr:to>
    <xdr:sp macro="" textlink="">
      <xdr:nvSpPr>
        <xdr:cNvPr id="13" name="TextBox 12">
          <a:extLst>
            <a:ext uri="{FF2B5EF4-FFF2-40B4-BE49-F238E27FC236}">
              <a16:creationId xmlns:a16="http://schemas.microsoft.com/office/drawing/2014/main" id="{9B15B94F-C1FD-4D55-8C37-7B2013A33410}"/>
            </a:ext>
          </a:extLst>
        </xdr:cNvPr>
        <xdr:cNvSpPr txBox="1"/>
      </xdr:nvSpPr>
      <xdr:spPr>
        <a:xfrm>
          <a:off x="2809874" y="2562226"/>
          <a:ext cx="30861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Renewable Energy + Monitoring &amp; Evaluation</a:t>
          </a:r>
          <a:endParaRPr lang="en-US" sz="1000" b="0" baseline="0"/>
        </a:p>
      </xdr:txBody>
    </xdr:sp>
    <xdr:clientData/>
  </xdr:twoCellAnchor>
  <xdr:twoCellAnchor>
    <xdr:from>
      <xdr:col>4</xdr:col>
      <xdr:colOff>409574</xdr:colOff>
      <xdr:row>10</xdr:row>
      <xdr:rowOff>85726</xdr:rowOff>
    </xdr:from>
    <xdr:to>
      <xdr:col>9</xdr:col>
      <xdr:colOff>447674</xdr:colOff>
      <xdr:row>12</xdr:row>
      <xdr:rowOff>19050</xdr:rowOff>
    </xdr:to>
    <xdr:sp macro="" textlink="">
      <xdr:nvSpPr>
        <xdr:cNvPr id="14" name="TextBox 13">
          <a:extLst>
            <a:ext uri="{FF2B5EF4-FFF2-40B4-BE49-F238E27FC236}">
              <a16:creationId xmlns:a16="http://schemas.microsoft.com/office/drawing/2014/main" id="{B9EDD8E5-CE75-6C9B-273B-21A5CA00F4B1}"/>
            </a:ext>
          </a:extLst>
        </xdr:cNvPr>
        <xdr:cNvSpPr txBox="1"/>
      </xdr:nvSpPr>
      <xdr:spPr>
        <a:xfrm>
          <a:off x="2847974" y="1990726"/>
          <a:ext cx="30861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a:t>Microsoft Excel</a:t>
          </a:r>
          <a:endParaRPr lang="en-US" sz="1000" b="0" baseline="0"/>
        </a:p>
      </xdr:txBody>
    </xdr:sp>
    <xdr:clientData/>
  </xdr:twoCellAnchor>
  <xdr:twoCellAnchor>
    <xdr:from>
      <xdr:col>4</xdr:col>
      <xdr:colOff>352424</xdr:colOff>
      <xdr:row>14</xdr:row>
      <xdr:rowOff>180976</xdr:rowOff>
    </xdr:from>
    <xdr:to>
      <xdr:col>9</xdr:col>
      <xdr:colOff>85725</xdr:colOff>
      <xdr:row>16</xdr:row>
      <xdr:rowOff>85726</xdr:rowOff>
    </xdr:to>
    <xdr:sp macro="" textlink="">
      <xdr:nvSpPr>
        <xdr:cNvPr id="15" name="TextBox 14">
          <a:extLst>
            <a:ext uri="{FF2B5EF4-FFF2-40B4-BE49-F238E27FC236}">
              <a16:creationId xmlns:a16="http://schemas.microsoft.com/office/drawing/2014/main" id="{2254C6C9-45EB-F383-9228-06F2F3C3DE72}"/>
            </a:ext>
          </a:extLst>
        </xdr:cNvPr>
        <xdr:cNvSpPr txBox="1"/>
      </xdr:nvSpPr>
      <xdr:spPr>
        <a:xfrm>
          <a:off x="2790824" y="2847976"/>
          <a:ext cx="27813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What Success Mean to the Industry</a:t>
          </a:r>
        </a:p>
      </xdr:txBody>
    </xdr:sp>
    <xdr:clientData/>
  </xdr:twoCellAnchor>
  <xdr:twoCellAnchor>
    <xdr:from>
      <xdr:col>4</xdr:col>
      <xdr:colOff>323849</xdr:colOff>
      <xdr:row>16</xdr:row>
      <xdr:rowOff>123825</xdr:rowOff>
    </xdr:from>
    <xdr:to>
      <xdr:col>9</xdr:col>
      <xdr:colOff>361949</xdr:colOff>
      <xdr:row>21</xdr:row>
      <xdr:rowOff>76200</xdr:rowOff>
    </xdr:to>
    <xdr:sp macro="" textlink="">
      <xdr:nvSpPr>
        <xdr:cNvPr id="16" name="TextBox 15">
          <a:extLst>
            <a:ext uri="{FF2B5EF4-FFF2-40B4-BE49-F238E27FC236}">
              <a16:creationId xmlns:a16="http://schemas.microsoft.com/office/drawing/2014/main" id="{6BD37BA4-9B06-9472-7EA7-D4CF399841FC}"/>
            </a:ext>
          </a:extLst>
        </xdr:cNvPr>
        <xdr:cNvSpPr txBox="1"/>
      </xdr:nvSpPr>
      <xdr:spPr>
        <a:xfrm>
          <a:off x="2762249" y="3171825"/>
          <a:ext cx="3086100"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Delivering reliable clean energy that creates measurable economic and social value for communities while meeting programme targets.</a:t>
          </a:r>
        </a:p>
      </xdr:txBody>
    </xdr:sp>
    <xdr:clientData/>
  </xdr:twoCellAnchor>
  <xdr:twoCellAnchor>
    <xdr:from>
      <xdr:col>10</xdr:col>
      <xdr:colOff>314324</xdr:colOff>
      <xdr:row>1</xdr:row>
      <xdr:rowOff>180976</xdr:rowOff>
    </xdr:from>
    <xdr:to>
      <xdr:col>12</xdr:col>
      <xdr:colOff>571499</xdr:colOff>
      <xdr:row>3</xdr:row>
      <xdr:rowOff>85726</xdr:rowOff>
    </xdr:to>
    <xdr:sp macro="" textlink="">
      <xdr:nvSpPr>
        <xdr:cNvPr id="17" name="TextBox 16">
          <a:extLst>
            <a:ext uri="{FF2B5EF4-FFF2-40B4-BE49-F238E27FC236}">
              <a16:creationId xmlns:a16="http://schemas.microsoft.com/office/drawing/2014/main" id="{531F3C5C-821C-C9A8-3A5B-405D53E9A8B0}"/>
            </a:ext>
          </a:extLst>
        </xdr:cNvPr>
        <xdr:cNvSpPr txBox="1"/>
      </xdr:nvSpPr>
      <xdr:spPr>
        <a:xfrm>
          <a:off x="6410324" y="371476"/>
          <a:ext cx="1476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StakeHolders</a:t>
          </a:r>
        </a:p>
      </xdr:txBody>
    </xdr:sp>
    <xdr:clientData/>
  </xdr:twoCellAnchor>
  <xdr:twoCellAnchor>
    <xdr:from>
      <xdr:col>10</xdr:col>
      <xdr:colOff>285749</xdr:colOff>
      <xdr:row>3</xdr:row>
      <xdr:rowOff>123826</xdr:rowOff>
    </xdr:from>
    <xdr:to>
      <xdr:col>17</xdr:col>
      <xdr:colOff>85725</xdr:colOff>
      <xdr:row>8</xdr:row>
      <xdr:rowOff>123826</xdr:rowOff>
    </xdr:to>
    <xdr:sp macro="" textlink="">
      <xdr:nvSpPr>
        <xdr:cNvPr id="18" name="TextBox 17">
          <a:extLst>
            <a:ext uri="{FF2B5EF4-FFF2-40B4-BE49-F238E27FC236}">
              <a16:creationId xmlns:a16="http://schemas.microsoft.com/office/drawing/2014/main" id="{F3383E84-0305-8378-CECF-388F5B2D1D58}"/>
            </a:ext>
          </a:extLst>
        </xdr:cNvPr>
        <xdr:cNvSpPr txBox="1"/>
      </xdr:nvSpPr>
      <xdr:spPr>
        <a:xfrm>
          <a:off x="6381749" y="695326"/>
          <a:ext cx="4067176"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t>1. Executive</a:t>
          </a:r>
          <a:r>
            <a:rPr lang="en-US" sz="1000" b="1" baseline="0"/>
            <a:t> Management: </a:t>
          </a:r>
          <a:r>
            <a:rPr lang="en-US" sz="1000" b="0" baseline="0"/>
            <a:t>Overall intervention Performance and impact</a:t>
          </a:r>
        </a:p>
        <a:p>
          <a:pPr algn="l"/>
          <a:r>
            <a:rPr lang="en-US" sz="1000" b="1" baseline="0"/>
            <a:t>2. M &amp; E Team: </a:t>
          </a:r>
          <a:r>
            <a:rPr lang="en-US" sz="1000" b="0" baseline="0"/>
            <a:t>Whether programmes are achieiving targets</a:t>
          </a:r>
        </a:p>
        <a:p>
          <a:pPr algn="l"/>
          <a:r>
            <a:rPr lang="en-US" sz="1000" b="1" baseline="0"/>
            <a:t>3. HR/Training Team: </a:t>
          </a:r>
          <a:r>
            <a:rPr lang="en-US" sz="1000" b="0" baseline="0"/>
            <a:t>People trained and employment outcomes</a:t>
          </a:r>
        </a:p>
        <a:p>
          <a:pPr algn="l"/>
          <a:r>
            <a:rPr lang="en-US" sz="1000" b="1" baseline="0"/>
            <a:t>4. Host Communities: </a:t>
          </a:r>
          <a:r>
            <a:rPr lang="en-US" sz="1000" b="0" baseline="0"/>
            <a:t>Reliable electricity, jobs and skills</a:t>
          </a:r>
        </a:p>
        <a:p>
          <a:pPr algn="l"/>
          <a:r>
            <a:rPr lang="en-US" sz="1000" b="1" baseline="0"/>
            <a:t>5 Investors: </a:t>
          </a:r>
          <a:r>
            <a:rPr lang="en-US" sz="1000" b="0" baseline="0"/>
            <a:t>ESG and community-impact performance</a:t>
          </a:r>
        </a:p>
      </xdr:txBody>
    </xdr:sp>
    <xdr:clientData/>
  </xdr:twoCellAnchor>
  <xdr:twoCellAnchor>
    <xdr:from>
      <xdr:col>10</xdr:col>
      <xdr:colOff>295274</xdr:colOff>
      <xdr:row>8</xdr:row>
      <xdr:rowOff>152401</xdr:rowOff>
    </xdr:from>
    <xdr:to>
      <xdr:col>14</xdr:col>
      <xdr:colOff>295275</xdr:colOff>
      <xdr:row>9</xdr:row>
      <xdr:rowOff>187493</xdr:rowOff>
    </xdr:to>
    <xdr:sp macro="" textlink="">
      <xdr:nvSpPr>
        <xdr:cNvPr id="19" name="TextBox 18">
          <a:extLst>
            <a:ext uri="{FF2B5EF4-FFF2-40B4-BE49-F238E27FC236}">
              <a16:creationId xmlns:a16="http://schemas.microsoft.com/office/drawing/2014/main" id="{C49730AD-9C04-7866-FC47-C47312EBEC03}"/>
            </a:ext>
          </a:extLst>
        </xdr:cNvPr>
        <xdr:cNvSpPr txBox="1"/>
      </xdr:nvSpPr>
      <xdr:spPr>
        <a:xfrm>
          <a:off x="6391274" y="1676401"/>
          <a:ext cx="2438401" cy="225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a:t>
          </a:r>
          <a:r>
            <a:rPr lang="en-US" sz="1100" b="1" baseline="0"/>
            <a:t> Business Questions</a:t>
          </a:r>
          <a:endParaRPr lang="en-US" sz="1100" b="1"/>
        </a:p>
      </xdr:txBody>
    </xdr:sp>
    <xdr:clientData/>
  </xdr:twoCellAnchor>
  <xdr:twoCellAnchor>
    <xdr:from>
      <xdr:col>10</xdr:col>
      <xdr:colOff>266698</xdr:colOff>
      <xdr:row>10</xdr:row>
      <xdr:rowOff>95250</xdr:rowOff>
    </xdr:from>
    <xdr:to>
      <xdr:col>19</xdr:col>
      <xdr:colOff>66675</xdr:colOff>
      <xdr:row>17</xdr:row>
      <xdr:rowOff>47625</xdr:rowOff>
    </xdr:to>
    <xdr:sp macro="" textlink="">
      <xdr:nvSpPr>
        <xdr:cNvPr id="20" name="TextBox 19">
          <a:extLst>
            <a:ext uri="{FF2B5EF4-FFF2-40B4-BE49-F238E27FC236}">
              <a16:creationId xmlns:a16="http://schemas.microsoft.com/office/drawing/2014/main" id="{7620E5CC-5D85-D154-4798-8B5B7E34BF3D}"/>
            </a:ext>
          </a:extLst>
        </xdr:cNvPr>
        <xdr:cNvSpPr txBox="1"/>
      </xdr:nvSpPr>
      <xdr:spPr>
        <a:xfrm>
          <a:off x="6362698" y="2000250"/>
          <a:ext cx="5286377" cy="1285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Which interventions and states are meeting their targets, and where are the largest performance gaps?</a:t>
          </a:r>
        </a:p>
        <a:p>
          <a:pPr algn="l"/>
          <a:r>
            <a:rPr lang="en-US" sz="1000" b="0" baseline="0"/>
            <a:t>2. How effectively are interventions translating into meaningful clean-energy access for beneficiaries?</a:t>
          </a:r>
        </a:p>
        <a:p>
          <a:pPr algn="l"/>
          <a:r>
            <a:rPr lang="en-US" sz="1000" b="0" baseline="0"/>
            <a:t>3. What relationship exists between system reliability and community satisfaction?</a:t>
          </a:r>
        </a:p>
        <a:p>
          <a:pPr algn="l"/>
          <a:r>
            <a:rPr lang="en-US" sz="1000" b="0" baseline="0"/>
            <a:t>4. Are skills-development initiatives translating into local employment opportunities?</a:t>
          </a:r>
        </a:p>
        <a:p>
          <a:pPr algn="l"/>
          <a:r>
            <a:rPr lang="en-US" sz="1000" b="0" baseline="0"/>
            <a:t>5. Which interventions demonstrate the strongest overall community impact?</a:t>
          </a:r>
        </a:p>
      </xdr:txBody>
    </xdr:sp>
    <xdr:clientData/>
  </xdr:twoCellAnchor>
  <xdr:twoCellAnchor>
    <xdr:from>
      <xdr:col>10</xdr:col>
      <xdr:colOff>342899</xdr:colOff>
      <xdr:row>17</xdr:row>
      <xdr:rowOff>85726</xdr:rowOff>
    </xdr:from>
    <xdr:to>
      <xdr:col>14</xdr:col>
      <xdr:colOff>342900</xdr:colOff>
      <xdr:row>18</xdr:row>
      <xdr:rowOff>117476</xdr:rowOff>
    </xdr:to>
    <xdr:sp macro="" textlink="">
      <xdr:nvSpPr>
        <xdr:cNvPr id="21" name="TextBox 20">
          <a:extLst>
            <a:ext uri="{FF2B5EF4-FFF2-40B4-BE49-F238E27FC236}">
              <a16:creationId xmlns:a16="http://schemas.microsoft.com/office/drawing/2014/main" id="{36D4649D-B6F9-9F43-D94B-56BEAFC29009}"/>
            </a:ext>
          </a:extLst>
        </xdr:cNvPr>
        <xdr:cNvSpPr txBox="1"/>
      </xdr:nvSpPr>
      <xdr:spPr>
        <a:xfrm>
          <a:off x="6438899" y="3324226"/>
          <a:ext cx="2438401"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Potential</a:t>
          </a:r>
          <a:r>
            <a:rPr lang="en-US" sz="1100" b="1" baseline="0"/>
            <a:t> Insights</a:t>
          </a:r>
          <a:endParaRPr lang="en-US" sz="1100" b="1"/>
        </a:p>
      </xdr:txBody>
    </xdr:sp>
    <xdr:clientData/>
  </xdr:twoCellAnchor>
  <xdr:twoCellAnchor>
    <xdr:from>
      <xdr:col>10</xdr:col>
      <xdr:colOff>323848</xdr:colOff>
      <xdr:row>19</xdr:row>
      <xdr:rowOff>0</xdr:rowOff>
    </xdr:from>
    <xdr:to>
      <xdr:col>19</xdr:col>
      <xdr:colOff>247650</xdr:colOff>
      <xdr:row>26</xdr:row>
      <xdr:rowOff>123825</xdr:rowOff>
    </xdr:to>
    <xdr:sp macro="" textlink="">
      <xdr:nvSpPr>
        <xdr:cNvPr id="22" name="TextBox 21">
          <a:extLst>
            <a:ext uri="{FF2B5EF4-FFF2-40B4-BE49-F238E27FC236}">
              <a16:creationId xmlns:a16="http://schemas.microsoft.com/office/drawing/2014/main" id="{BF27EB46-2914-31C1-D8CA-A0BB2718451A}"/>
            </a:ext>
          </a:extLst>
        </xdr:cNvPr>
        <xdr:cNvSpPr txBox="1"/>
      </xdr:nvSpPr>
      <xdr:spPr>
        <a:xfrm>
          <a:off x="6419848" y="3619500"/>
          <a:ext cx="5410202"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0" baseline="0"/>
            <a:t>1. Some interventions may already be exceeding targets, creating potential models for practices that could be replicated elsewhere.</a:t>
          </a:r>
        </a:p>
        <a:p>
          <a:pPr algn="l"/>
          <a:r>
            <a:rPr lang="en-US" sz="1000" b="0" baseline="0"/>
            <a:t>2. Some interventions may have large beneficiary numbers but relatively low clean-energy access.</a:t>
          </a:r>
        </a:p>
        <a:p>
          <a:pPr algn="l"/>
          <a:r>
            <a:rPr lang="en-US" sz="1000" b="0" baseline="0"/>
            <a:t>3. Higher system uptime may be associated with higher community satisfaction.</a:t>
          </a:r>
        </a:p>
        <a:p>
          <a:pPr algn="l"/>
          <a:r>
            <a:rPr lang="en-US" sz="1000" b="0" baseline="0"/>
            <a:t>4. High training + low jobs could indicate a gap between skills development and actual economic opportunity.</a:t>
          </a:r>
        </a:p>
        <a:p>
          <a:pPr algn="l"/>
          <a:r>
            <a:rPr lang="en-US" sz="1000" b="0" baseline="0"/>
            <a:t>5. Strong-performing interventions may share a combination of high target achievement, reliable systems, strong clean-energy access and high satisfaction.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219076</xdr:colOff>
      <xdr:row>0</xdr:row>
      <xdr:rowOff>9525</xdr:rowOff>
    </xdr:from>
    <xdr:to>
      <xdr:col>26</xdr:col>
      <xdr:colOff>314739</xdr:colOff>
      <xdr:row>4</xdr:row>
      <xdr:rowOff>19050</xdr:rowOff>
    </xdr:to>
    <xdr:sp macro="" textlink="">
      <xdr:nvSpPr>
        <xdr:cNvPr id="2" name="Rectangle 1">
          <a:extLst>
            <a:ext uri="{FF2B5EF4-FFF2-40B4-BE49-F238E27FC236}">
              <a16:creationId xmlns:a16="http://schemas.microsoft.com/office/drawing/2014/main" id="{4DE83642-1700-D4D1-30CA-FA76154EA167}"/>
            </a:ext>
          </a:extLst>
        </xdr:cNvPr>
        <xdr:cNvSpPr/>
      </xdr:nvSpPr>
      <xdr:spPr>
        <a:xfrm>
          <a:off x="3896554" y="9525"/>
          <a:ext cx="12353924" cy="771525"/>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xdr:colOff>
      <xdr:row>0</xdr:row>
      <xdr:rowOff>9524</xdr:rowOff>
    </xdr:from>
    <xdr:to>
      <xdr:col>8</xdr:col>
      <xdr:colOff>180974</xdr:colOff>
      <xdr:row>4</xdr:row>
      <xdr:rowOff>66675</xdr:rowOff>
    </xdr:to>
    <xdr:sp macro="" textlink="">
      <xdr:nvSpPr>
        <xdr:cNvPr id="3" name="Rectangle 2">
          <a:extLst>
            <a:ext uri="{FF2B5EF4-FFF2-40B4-BE49-F238E27FC236}">
              <a16:creationId xmlns:a16="http://schemas.microsoft.com/office/drawing/2014/main" id="{BD0A4A70-E296-C069-2B25-9EEDF1BBB623}"/>
            </a:ext>
          </a:extLst>
        </xdr:cNvPr>
        <xdr:cNvSpPr/>
      </xdr:nvSpPr>
      <xdr:spPr>
        <a:xfrm>
          <a:off x="2466975" y="9524"/>
          <a:ext cx="2590799" cy="819151"/>
        </a:xfrm>
        <a:prstGeom prst="rect">
          <a:avLst/>
        </a:prstGeom>
        <a:solidFill>
          <a:srgbClr val="1242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28576</xdr:colOff>
      <xdr:row>4</xdr:row>
      <xdr:rowOff>47624</xdr:rowOff>
    </xdr:from>
    <xdr:to>
      <xdr:col>6</xdr:col>
      <xdr:colOff>95250</xdr:colOff>
      <xdr:row>48</xdr:row>
      <xdr:rowOff>31749</xdr:rowOff>
    </xdr:to>
    <xdr:sp macro="" textlink="">
      <xdr:nvSpPr>
        <xdr:cNvPr id="4" name="Rectangle 3">
          <a:extLst>
            <a:ext uri="{FF2B5EF4-FFF2-40B4-BE49-F238E27FC236}">
              <a16:creationId xmlns:a16="http://schemas.microsoft.com/office/drawing/2014/main" id="{33265E37-9C43-0D3D-690C-A6FDA647E566}"/>
            </a:ext>
          </a:extLst>
        </xdr:cNvPr>
        <xdr:cNvSpPr/>
      </xdr:nvSpPr>
      <xdr:spPr>
        <a:xfrm>
          <a:off x="2483909" y="809624"/>
          <a:ext cx="1294341" cy="8366125"/>
        </a:xfrm>
        <a:prstGeom prst="rect">
          <a:avLst/>
        </a:prstGeom>
        <a:solidFill>
          <a:srgbClr val="0D3A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161926</xdr:colOff>
      <xdr:row>9</xdr:row>
      <xdr:rowOff>29633</xdr:rowOff>
    </xdr:from>
    <xdr:to>
      <xdr:col>9</xdr:col>
      <xdr:colOff>323850</xdr:colOff>
      <xdr:row>14</xdr:row>
      <xdr:rowOff>105833</xdr:rowOff>
    </xdr:to>
    <xdr:sp macro="" textlink="">
      <xdr:nvSpPr>
        <xdr:cNvPr id="5" name="Rectangle 4">
          <a:extLst>
            <a:ext uri="{FF2B5EF4-FFF2-40B4-BE49-F238E27FC236}">
              <a16:creationId xmlns:a16="http://schemas.microsoft.com/office/drawing/2014/main" id="{3729A19C-7F29-7F50-8292-FCFA8E473DA6}"/>
            </a:ext>
          </a:extLst>
        </xdr:cNvPr>
        <xdr:cNvSpPr/>
      </xdr:nvSpPr>
      <xdr:spPr>
        <a:xfrm>
          <a:off x="3844926" y="1744133"/>
          <a:ext cx="2003424"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161926</xdr:colOff>
      <xdr:row>14</xdr:row>
      <xdr:rowOff>180974</xdr:rowOff>
    </xdr:from>
    <xdr:to>
      <xdr:col>12</xdr:col>
      <xdr:colOff>200025</xdr:colOff>
      <xdr:row>31</xdr:row>
      <xdr:rowOff>50005</xdr:rowOff>
    </xdr:to>
    <xdr:sp macro="" textlink="">
      <xdr:nvSpPr>
        <xdr:cNvPr id="11" name="Rectangle 10">
          <a:extLst>
            <a:ext uri="{FF2B5EF4-FFF2-40B4-BE49-F238E27FC236}">
              <a16:creationId xmlns:a16="http://schemas.microsoft.com/office/drawing/2014/main" id="{95DCEBAE-D1F9-EE7E-9463-581AE1CB95C3}"/>
            </a:ext>
          </a:extLst>
        </xdr:cNvPr>
        <xdr:cNvSpPr/>
      </xdr:nvSpPr>
      <xdr:spPr>
        <a:xfrm>
          <a:off x="3819526" y="2847974"/>
          <a:ext cx="3695699" cy="3107531"/>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276225</xdr:colOff>
      <xdr:row>14</xdr:row>
      <xdr:rowOff>180974</xdr:rowOff>
    </xdr:from>
    <xdr:to>
      <xdr:col>19</xdr:col>
      <xdr:colOff>471488</xdr:colOff>
      <xdr:row>31</xdr:row>
      <xdr:rowOff>50005</xdr:rowOff>
    </xdr:to>
    <xdr:sp macro="" textlink="">
      <xdr:nvSpPr>
        <xdr:cNvPr id="12" name="Rectangle 11">
          <a:extLst>
            <a:ext uri="{FF2B5EF4-FFF2-40B4-BE49-F238E27FC236}">
              <a16:creationId xmlns:a16="http://schemas.microsoft.com/office/drawing/2014/main" id="{C4287C6A-7587-1597-ACF5-123F55AD19F0}"/>
            </a:ext>
          </a:extLst>
        </xdr:cNvPr>
        <xdr:cNvSpPr/>
      </xdr:nvSpPr>
      <xdr:spPr>
        <a:xfrm>
          <a:off x="7591425" y="2847974"/>
          <a:ext cx="4462463" cy="3107531"/>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409576</xdr:colOff>
      <xdr:row>9</xdr:row>
      <xdr:rowOff>29633</xdr:rowOff>
    </xdr:from>
    <xdr:to>
      <xdr:col>12</xdr:col>
      <xdr:colOff>571500</xdr:colOff>
      <xdr:row>14</xdr:row>
      <xdr:rowOff>105833</xdr:rowOff>
    </xdr:to>
    <xdr:sp macro="" textlink="">
      <xdr:nvSpPr>
        <xdr:cNvPr id="25" name="Rectangle 24">
          <a:extLst>
            <a:ext uri="{FF2B5EF4-FFF2-40B4-BE49-F238E27FC236}">
              <a16:creationId xmlns:a16="http://schemas.microsoft.com/office/drawing/2014/main" id="{211A6608-F361-7236-401F-91DE9CE1D31E}"/>
            </a:ext>
          </a:extLst>
        </xdr:cNvPr>
        <xdr:cNvSpPr/>
      </xdr:nvSpPr>
      <xdr:spPr>
        <a:xfrm>
          <a:off x="5934076" y="1744133"/>
          <a:ext cx="2003424"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47626</xdr:colOff>
      <xdr:row>9</xdr:row>
      <xdr:rowOff>29633</xdr:rowOff>
    </xdr:from>
    <xdr:to>
      <xdr:col>16</xdr:col>
      <xdr:colOff>209550</xdr:colOff>
      <xdr:row>14</xdr:row>
      <xdr:rowOff>105833</xdr:rowOff>
    </xdr:to>
    <xdr:sp macro="" textlink="">
      <xdr:nvSpPr>
        <xdr:cNvPr id="26" name="Rectangle 25">
          <a:extLst>
            <a:ext uri="{FF2B5EF4-FFF2-40B4-BE49-F238E27FC236}">
              <a16:creationId xmlns:a16="http://schemas.microsoft.com/office/drawing/2014/main" id="{69694AE5-F469-6B03-C409-9ADC8B6AE500}"/>
            </a:ext>
          </a:extLst>
        </xdr:cNvPr>
        <xdr:cNvSpPr/>
      </xdr:nvSpPr>
      <xdr:spPr>
        <a:xfrm>
          <a:off x="8027459" y="1744133"/>
          <a:ext cx="2003424"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295276</xdr:colOff>
      <xdr:row>9</xdr:row>
      <xdr:rowOff>29633</xdr:rowOff>
    </xdr:from>
    <xdr:to>
      <xdr:col>19</xdr:col>
      <xdr:colOff>457200</xdr:colOff>
      <xdr:row>14</xdr:row>
      <xdr:rowOff>105833</xdr:rowOff>
    </xdr:to>
    <xdr:sp macro="" textlink="">
      <xdr:nvSpPr>
        <xdr:cNvPr id="27" name="Rectangle 26">
          <a:extLst>
            <a:ext uri="{FF2B5EF4-FFF2-40B4-BE49-F238E27FC236}">
              <a16:creationId xmlns:a16="http://schemas.microsoft.com/office/drawing/2014/main" id="{E88FB971-6DFE-C1BF-37CB-F63C3FB5AE16}"/>
            </a:ext>
          </a:extLst>
        </xdr:cNvPr>
        <xdr:cNvSpPr/>
      </xdr:nvSpPr>
      <xdr:spPr>
        <a:xfrm>
          <a:off x="10116609" y="1744133"/>
          <a:ext cx="2003424"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542926</xdr:colOff>
      <xdr:row>9</xdr:row>
      <xdr:rowOff>29633</xdr:rowOff>
    </xdr:from>
    <xdr:to>
      <xdr:col>23</xdr:col>
      <xdr:colOff>95250</xdr:colOff>
      <xdr:row>14</xdr:row>
      <xdr:rowOff>105833</xdr:rowOff>
    </xdr:to>
    <xdr:sp macro="" textlink="">
      <xdr:nvSpPr>
        <xdr:cNvPr id="28" name="Rectangle 27">
          <a:extLst>
            <a:ext uri="{FF2B5EF4-FFF2-40B4-BE49-F238E27FC236}">
              <a16:creationId xmlns:a16="http://schemas.microsoft.com/office/drawing/2014/main" id="{6430D1CD-78A0-DCAB-CCC4-62729B580925}"/>
            </a:ext>
          </a:extLst>
        </xdr:cNvPr>
        <xdr:cNvSpPr/>
      </xdr:nvSpPr>
      <xdr:spPr>
        <a:xfrm>
          <a:off x="12205759" y="1744133"/>
          <a:ext cx="2007658"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180976</xdr:colOff>
      <xdr:row>9</xdr:row>
      <xdr:rowOff>29633</xdr:rowOff>
    </xdr:from>
    <xdr:to>
      <xdr:col>26</xdr:col>
      <xdr:colOff>342900</xdr:colOff>
      <xdr:row>14</xdr:row>
      <xdr:rowOff>105833</xdr:rowOff>
    </xdr:to>
    <xdr:sp macro="" textlink="">
      <xdr:nvSpPr>
        <xdr:cNvPr id="29" name="Rectangle 28">
          <a:extLst>
            <a:ext uri="{FF2B5EF4-FFF2-40B4-BE49-F238E27FC236}">
              <a16:creationId xmlns:a16="http://schemas.microsoft.com/office/drawing/2014/main" id="{1E12121F-0FA2-94D8-1394-9EE20BB2AE4C}"/>
            </a:ext>
          </a:extLst>
        </xdr:cNvPr>
        <xdr:cNvSpPr/>
      </xdr:nvSpPr>
      <xdr:spPr>
        <a:xfrm>
          <a:off x="14299143" y="1744133"/>
          <a:ext cx="2003424" cy="1028700"/>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547688</xdr:colOff>
      <xdr:row>14</xdr:row>
      <xdr:rowOff>180974</xdr:rowOff>
    </xdr:from>
    <xdr:to>
      <xdr:col>26</xdr:col>
      <xdr:colOff>352426</xdr:colOff>
      <xdr:row>31</xdr:row>
      <xdr:rowOff>50005</xdr:rowOff>
    </xdr:to>
    <xdr:sp macro="" textlink="">
      <xdr:nvSpPr>
        <xdr:cNvPr id="30" name="Rectangle 29">
          <a:extLst>
            <a:ext uri="{FF2B5EF4-FFF2-40B4-BE49-F238E27FC236}">
              <a16:creationId xmlns:a16="http://schemas.microsoft.com/office/drawing/2014/main" id="{E104E0F7-3353-1124-3BF0-798C0B051959}"/>
            </a:ext>
          </a:extLst>
        </xdr:cNvPr>
        <xdr:cNvSpPr/>
      </xdr:nvSpPr>
      <xdr:spPr>
        <a:xfrm>
          <a:off x="12130088" y="2847974"/>
          <a:ext cx="4071938" cy="3107531"/>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162984</xdr:colOff>
      <xdr:row>31</xdr:row>
      <xdr:rowOff>132286</xdr:rowOff>
    </xdr:from>
    <xdr:to>
      <xdr:col>12</xdr:col>
      <xdr:colOff>201083</xdr:colOff>
      <xdr:row>48</xdr:row>
      <xdr:rowOff>43392</xdr:rowOff>
    </xdr:to>
    <xdr:sp macro="" textlink="">
      <xdr:nvSpPr>
        <xdr:cNvPr id="31" name="Rectangle 30">
          <a:extLst>
            <a:ext uri="{FF2B5EF4-FFF2-40B4-BE49-F238E27FC236}">
              <a16:creationId xmlns:a16="http://schemas.microsoft.com/office/drawing/2014/main" id="{D41F73CA-BE21-9949-E41A-595937045AD6}"/>
            </a:ext>
          </a:extLst>
        </xdr:cNvPr>
        <xdr:cNvSpPr/>
      </xdr:nvSpPr>
      <xdr:spPr>
        <a:xfrm>
          <a:off x="3845984" y="6037786"/>
          <a:ext cx="3721099" cy="3149606"/>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282575</xdr:colOff>
      <xdr:row>31</xdr:row>
      <xdr:rowOff>132286</xdr:rowOff>
    </xdr:from>
    <xdr:to>
      <xdr:col>19</xdr:col>
      <xdr:colOff>477838</xdr:colOff>
      <xdr:row>48</xdr:row>
      <xdr:rowOff>43392</xdr:rowOff>
    </xdr:to>
    <xdr:sp macro="" textlink="">
      <xdr:nvSpPr>
        <xdr:cNvPr id="32" name="Rectangle 31">
          <a:extLst>
            <a:ext uri="{FF2B5EF4-FFF2-40B4-BE49-F238E27FC236}">
              <a16:creationId xmlns:a16="http://schemas.microsoft.com/office/drawing/2014/main" id="{FB2EEC1C-03CB-51C5-9CB6-7A87173A940C}"/>
            </a:ext>
          </a:extLst>
        </xdr:cNvPr>
        <xdr:cNvSpPr/>
      </xdr:nvSpPr>
      <xdr:spPr>
        <a:xfrm>
          <a:off x="7648575" y="6037786"/>
          <a:ext cx="4492096" cy="3149606"/>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559330</xdr:colOff>
      <xdr:row>31</xdr:row>
      <xdr:rowOff>132286</xdr:rowOff>
    </xdr:from>
    <xdr:to>
      <xdr:col>26</xdr:col>
      <xdr:colOff>364068</xdr:colOff>
      <xdr:row>48</xdr:row>
      <xdr:rowOff>43392</xdr:rowOff>
    </xdr:to>
    <xdr:sp macro="" textlink="">
      <xdr:nvSpPr>
        <xdr:cNvPr id="33" name="Rectangle 32">
          <a:extLst>
            <a:ext uri="{FF2B5EF4-FFF2-40B4-BE49-F238E27FC236}">
              <a16:creationId xmlns:a16="http://schemas.microsoft.com/office/drawing/2014/main" id="{2C5AEFDB-6E77-F4EF-E66B-EB59B960C043}"/>
            </a:ext>
          </a:extLst>
        </xdr:cNvPr>
        <xdr:cNvSpPr/>
      </xdr:nvSpPr>
      <xdr:spPr>
        <a:xfrm>
          <a:off x="12222163" y="6037786"/>
          <a:ext cx="4101572" cy="3149606"/>
        </a:xfrm>
        <a:prstGeom prst="rect">
          <a:avLst/>
        </a:prstGeom>
        <a:solidFill>
          <a:srgbClr val="FEFE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180975</xdr:colOff>
      <xdr:row>0</xdr:row>
      <xdr:rowOff>38101</xdr:rowOff>
    </xdr:from>
    <xdr:to>
      <xdr:col>18</xdr:col>
      <xdr:colOff>247650</xdr:colOff>
      <xdr:row>2</xdr:row>
      <xdr:rowOff>38101</xdr:rowOff>
    </xdr:to>
    <xdr:sp macro="" textlink="">
      <xdr:nvSpPr>
        <xdr:cNvPr id="34" name="TextBox 33">
          <a:extLst>
            <a:ext uri="{FF2B5EF4-FFF2-40B4-BE49-F238E27FC236}">
              <a16:creationId xmlns:a16="http://schemas.microsoft.com/office/drawing/2014/main" id="{335440BE-A933-6FC1-3B0F-0EDAF2D371AD}"/>
            </a:ext>
          </a:extLst>
        </xdr:cNvPr>
        <xdr:cNvSpPr txBox="1"/>
      </xdr:nvSpPr>
      <xdr:spPr>
        <a:xfrm>
          <a:off x="5667375" y="38101"/>
          <a:ext cx="55530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1E242B"/>
              </a:solidFill>
            </a:rPr>
            <a:t>Renewable Energy &amp; Community Impact Dashboard</a:t>
          </a:r>
        </a:p>
      </xdr:txBody>
    </xdr:sp>
    <xdr:clientData/>
  </xdr:twoCellAnchor>
  <xdr:twoCellAnchor>
    <xdr:from>
      <xdr:col>9</xdr:col>
      <xdr:colOff>209550</xdr:colOff>
      <xdr:row>1</xdr:row>
      <xdr:rowOff>142876</xdr:rowOff>
    </xdr:from>
    <xdr:to>
      <xdr:col>18</xdr:col>
      <xdr:colOff>276225</xdr:colOff>
      <xdr:row>2</xdr:row>
      <xdr:rowOff>180976</xdr:rowOff>
    </xdr:to>
    <xdr:sp macro="" textlink="">
      <xdr:nvSpPr>
        <xdr:cNvPr id="35" name="TextBox 34">
          <a:extLst>
            <a:ext uri="{FF2B5EF4-FFF2-40B4-BE49-F238E27FC236}">
              <a16:creationId xmlns:a16="http://schemas.microsoft.com/office/drawing/2014/main" id="{087770EC-013D-5E4D-2C95-FD07C0E56E53}"/>
            </a:ext>
          </a:extLst>
        </xdr:cNvPr>
        <xdr:cNvSpPr txBox="1"/>
      </xdr:nvSpPr>
      <xdr:spPr>
        <a:xfrm>
          <a:off x="5695950" y="333376"/>
          <a:ext cx="55530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solidFill>
                <a:srgbClr val="1E242B"/>
              </a:solidFill>
            </a:rPr>
            <a:t>Tracking Performance.</a:t>
          </a:r>
          <a:r>
            <a:rPr lang="en-US" sz="1000" i="1" baseline="0">
              <a:solidFill>
                <a:srgbClr val="1E242B"/>
              </a:solidFill>
            </a:rPr>
            <a:t> Measuring Impact. Powering Sustainable Change</a:t>
          </a:r>
          <a:endParaRPr lang="en-US" sz="1000" i="1">
            <a:solidFill>
              <a:srgbClr val="1E242B"/>
            </a:solidFill>
          </a:endParaRPr>
        </a:p>
      </xdr:txBody>
    </xdr:sp>
    <xdr:clientData/>
  </xdr:twoCellAnchor>
  <xdr:twoCellAnchor editAs="oneCell">
    <xdr:from>
      <xdr:col>8</xdr:col>
      <xdr:colOff>381000</xdr:colOff>
      <xdr:row>0</xdr:row>
      <xdr:rowOff>38100</xdr:rowOff>
    </xdr:from>
    <xdr:to>
      <xdr:col>9</xdr:col>
      <xdr:colOff>247650</xdr:colOff>
      <xdr:row>2</xdr:row>
      <xdr:rowOff>133350</xdr:rowOff>
    </xdr:to>
    <xdr:pic>
      <xdr:nvPicPr>
        <xdr:cNvPr id="37" name="Graphic 36" descr="Sun with solid fill">
          <a:extLst>
            <a:ext uri="{FF2B5EF4-FFF2-40B4-BE49-F238E27FC236}">
              <a16:creationId xmlns:a16="http://schemas.microsoft.com/office/drawing/2014/main" id="{FA397F43-4388-0D91-7AA9-EC4520264D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57800" y="38100"/>
          <a:ext cx="476250" cy="476250"/>
        </a:xfrm>
        <a:prstGeom prst="rect">
          <a:avLst/>
        </a:prstGeom>
      </xdr:spPr>
    </xdr:pic>
    <xdr:clientData/>
  </xdr:twoCellAnchor>
  <xdr:twoCellAnchor editAs="oneCell">
    <xdr:from>
      <xdr:col>24</xdr:col>
      <xdr:colOff>404734</xdr:colOff>
      <xdr:row>0</xdr:row>
      <xdr:rowOff>56494</xdr:rowOff>
    </xdr:from>
    <xdr:to>
      <xdr:col>25</xdr:col>
      <xdr:colOff>176134</xdr:colOff>
      <xdr:row>2</xdr:row>
      <xdr:rowOff>56494</xdr:rowOff>
    </xdr:to>
    <xdr:pic>
      <xdr:nvPicPr>
        <xdr:cNvPr id="39" name="Graphic 38" descr="Daily calendar with solid fill">
          <a:extLst>
            <a:ext uri="{FF2B5EF4-FFF2-40B4-BE49-F238E27FC236}">
              <a16:creationId xmlns:a16="http://schemas.microsoft.com/office/drawing/2014/main" id="{11A6D0E8-85FE-0E1B-8D07-C55033ECAC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114647" y="56494"/>
          <a:ext cx="384313" cy="381000"/>
        </a:xfrm>
        <a:prstGeom prst="rect">
          <a:avLst/>
        </a:prstGeom>
      </xdr:spPr>
    </xdr:pic>
    <xdr:clientData/>
  </xdr:twoCellAnchor>
  <xdr:twoCellAnchor>
    <xdr:from>
      <xdr:col>25</xdr:col>
      <xdr:colOff>105160</xdr:colOff>
      <xdr:row>0</xdr:row>
      <xdr:rowOff>63064</xdr:rowOff>
    </xdr:from>
    <xdr:to>
      <xdr:col>26</xdr:col>
      <xdr:colOff>262186</xdr:colOff>
      <xdr:row>1</xdr:row>
      <xdr:rowOff>82113</xdr:rowOff>
    </xdr:to>
    <xdr:sp macro="" textlink="">
      <xdr:nvSpPr>
        <xdr:cNvPr id="40" name="TextBox 39">
          <a:extLst>
            <a:ext uri="{FF2B5EF4-FFF2-40B4-BE49-F238E27FC236}">
              <a16:creationId xmlns:a16="http://schemas.microsoft.com/office/drawing/2014/main" id="{C5954B59-8A01-A952-B76D-387EF062E56E}"/>
            </a:ext>
          </a:extLst>
        </xdr:cNvPr>
        <xdr:cNvSpPr txBox="1"/>
      </xdr:nvSpPr>
      <xdr:spPr>
        <a:xfrm>
          <a:off x="15427986" y="63064"/>
          <a:ext cx="769939"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rgbClr val="676F80"/>
              </a:solidFill>
            </a:rPr>
            <a:t>Last Updated</a:t>
          </a:r>
        </a:p>
      </xdr:txBody>
    </xdr:sp>
    <xdr:clientData/>
  </xdr:twoCellAnchor>
  <xdr:twoCellAnchor>
    <xdr:from>
      <xdr:col>25</xdr:col>
      <xdr:colOff>118626</xdr:colOff>
      <xdr:row>1</xdr:row>
      <xdr:rowOff>17738</xdr:rowOff>
    </xdr:from>
    <xdr:to>
      <xdr:col>26</xdr:col>
      <xdr:colOff>262186</xdr:colOff>
      <xdr:row>2</xdr:row>
      <xdr:rowOff>36787</xdr:rowOff>
    </xdr:to>
    <xdr:sp macro="" textlink="current_date">
      <xdr:nvSpPr>
        <xdr:cNvPr id="41" name="TextBox 40">
          <a:extLst>
            <a:ext uri="{FF2B5EF4-FFF2-40B4-BE49-F238E27FC236}">
              <a16:creationId xmlns:a16="http://schemas.microsoft.com/office/drawing/2014/main" id="{8C3371D9-EE9C-80E9-B64E-983533285DCD}"/>
            </a:ext>
          </a:extLst>
        </xdr:cNvPr>
        <xdr:cNvSpPr txBox="1"/>
      </xdr:nvSpPr>
      <xdr:spPr>
        <a:xfrm>
          <a:off x="15441452" y="208238"/>
          <a:ext cx="756473"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E1397F-0040-4CCC-A18D-5105D75006CC}" type="TxLink">
            <a:rPr lang="en-US" sz="800" b="0" i="0" u="none" strike="noStrike">
              <a:solidFill>
                <a:srgbClr val="676F80"/>
              </a:solidFill>
              <a:latin typeface="Aptos Narrow"/>
            </a:rPr>
            <a:pPr/>
            <a:t>25 Sep 2026</a:t>
          </a:fld>
          <a:endParaRPr lang="en-US" sz="700" b="0">
            <a:solidFill>
              <a:srgbClr val="676F80"/>
            </a:solidFill>
          </a:endParaRPr>
        </a:p>
      </xdr:txBody>
    </xdr:sp>
    <xdr:clientData/>
  </xdr:twoCellAnchor>
  <xdr:twoCellAnchor editAs="oneCell">
    <xdr:from>
      <xdr:col>4</xdr:col>
      <xdr:colOff>228600</xdr:colOff>
      <xdr:row>0</xdr:row>
      <xdr:rowOff>142874</xdr:rowOff>
    </xdr:from>
    <xdr:to>
      <xdr:col>5</xdr:col>
      <xdr:colOff>123826</xdr:colOff>
      <xdr:row>3</xdr:row>
      <xdr:rowOff>76200</xdr:rowOff>
    </xdr:to>
    <xdr:pic>
      <xdr:nvPicPr>
        <xdr:cNvPr id="44" name="Picture 43">
          <a:extLst>
            <a:ext uri="{FF2B5EF4-FFF2-40B4-BE49-F238E27FC236}">
              <a16:creationId xmlns:a16="http://schemas.microsoft.com/office/drawing/2014/main" id="{017C072F-6E01-D50B-7A63-713670BC8CEC}"/>
            </a:ext>
          </a:extLst>
        </xdr:cNvPr>
        <xdr:cNvPicPr>
          <a:picLocks noChangeAspect="1"/>
        </xdr:cNvPicPr>
      </xdr:nvPicPr>
      <xdr:blipFill>
        <a:blip xmlns:r="http://schemas.openxmlformats.org/officeDocument/2006/relationships" r:embed="rId5"/>
        <a:stretch>
          <a:fillRect/>
        </a:stretch>
      </xdr:blipFill>
      <xdr:spPr>
        <a:xfrm>
          <a:off x="2667000" y="142874"/>
          <a:ext cx="504826" cy="504826"/>
        </a:xfrm>
        <a:prstGeom prst="rect">
          <a:avLst/>
        </a:prstGeom>
      </xdr:spPr>
    </xdr:pic>
    <xdr:clientData/>
  </xdr:twoCellAnchor>
  <xdr:twoCellAnchor>
    <xdr:from>
      <xdr:col>5</xdr:col>
      <xdr:colOff>104775</xdr:colOff>
      <xdr:row>0</xdr:row>
      <xdr:rowOff>76201</xdr:rowOff>
    </xdr:from>
    <xdr:to>
      <xdr:col>7</xdr:col>
      <xdr:colOff>95250</xdr:colOff>
      <xdr:row>2</xdr:row>
      <xdr:rowOff>152400</xdr:rowOff>
    </xdr:to>
    <xdr:sp macro="" textlink="">
      <xdr:nvSpPr>
        <xdr:cNvPr id="45" name="TextBox 44">
          <a:extLst>
            <a:ext uri="{FF2B5EF4-FFF2-40B4-BE49-F238E27FC236}">
              <a16:creationId xmlns:a16="http://schemas.microsoft.com/office/drawing/2014/main" id="{C57F39F8-291D-A877-53A1-9BEB1CED543F}"/>
            </a:ext>
          </a:extLst>
        </xdr:cNvPr>
        <xdr:cNvSpPr txBox="1"/>
      </xdr:nvSpPr>
      <xdr:spPr>
        <a:xfrm>
          <a:off x="3152775" y="76201"/>
          <a:ext cx="1209675"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EFEFE"/>
              </a:solidFill>
              <a:latin typeface="Aptos ExtraBold" panose="020B0004020202020204" pitchFamily="34" charset="0"/>
            </a:rPr>
            <a:t>Ferrouz</a:t>
          </a:r>
        </a:p>
      </xdr:txBody>
    </xdr:sp>
    <xdr:clientData/>
  </xdr:twoCellAnchor>
  <xdr:twoCellAnchor>
    <xdr:from>
      <xdr:col>5</xdr:col>
      <xdr:colOff>104775</xdr:colOff>
      <xdr:row>2</xdr:row>
      <xdr:rowOff>21207</xdr:rowOff>
    </xdr:from>
    <xdr:to>
      <xdr:col>8</xdr:col>
      <xdr:colOff>104775</xdr:colOff>
      <xdr:row>3</xdr:row>
      <xdr:rowOff>114300</xdr:rowOff>
    </xdr:to>
    <xdr:sp macro="" textlink="">
      <xdr:nvSpPr>
        <xdr:cNvPr id="46" name="TextBox 45">
          <a:extLst>
            <a:ext uri="{FF2B5EF4-FFF2-40B4-BE49-F238E27FC236}">
              <a16:creationId xmlns:a16="http://schemas.microsoft.com/office/drawing/2014/main" id="{F4C8F49B-4F74-25C6-039B-AA367F17BC4E}"/>
            </a:ext>
          </a:extLst>
        </xdr:cNvPr>
        <xdr:cNvSpPr txBox="1"/>
      </xdr:nvSpPr>
      <xdr:spPr>
        <a:xfrm>
          <a:off x="3152775" y="402207"/>
          <a:ext cx="1828800" cy="28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i="0">
              <a:solidFill>
                <a:srgbClr val="C89427"/>
              </a:solidFill>
            </a:rPr>
            <a:t>Clean Energy Plus</a:t>
          </a:r>
          <a:r>
            <a:rPr lang="en-US" sz="800" i="0" baseline="0">
              <a:solidFill>
                <a:srgbClr val="C89427"/>
              </a:solidFill>
            </a:rPr>
            <a:t> Impact for Change</a:t>
          </a:r>
          <a:endParaRPr lang="en-US" sz="800" i="0">
            <a:solidFill>
              <a:srgbClr val="C89427"/>
            </a:solidFill>
          </a:endParaRPr>
        </a:p>
      </xdr:txBody>
    </xdr:sp>
    <xdr:clientData/>
  </xdr:twoCellAnchor>
  <xdr:twoCellAnchor>
    <xdr:from>
      <xdr:col>4</xdr:col>
      <xdr:colOff>107675</xdr:colOff>
      <xdr:row>5</xdr:row>
      <xdr:rowOff>38099</xdr:rowOff>
    </xdr:from>
    <xdr:to>
      <xdr:col>6</xdr:col>
      <xdr:colOff>7327</xdr:colOff>
      <xdr:row>6</xdr:row>
      <xdr:rowOff>140020</xdr:rowOff>
    </xdr:to>
    <xdr:grpSp>
      <xdr:nvGrpSpPr>
        <xdr:cNvPr id="9" name="Group 8">
          <a:hlinkClick xmlns:r="http://schemas.openxmlformats.org/officeDocument/2006/relationships" r:id="rId6"/>
          <a:extLst>
            <a:ext uri="{FF2B5EF4-FFF2-40B4-BE49-F238E27FC236}">
              <a16:creationId xmlns:a16="http://schemas.microsoft.com/office/drawing/2014/main" id="{9B64B181-029B-1742-7831-97843119BF67}"/>
            </a:ext>
          </a:extLst>
        </xdr:cNvPr>
        <xdr:cNvGrpSpPr/>
      </xdr:nvGrpSpPr>
      <xdr:grpSpPr>
        <a:xfrm>
          <a:off x="2536550" y="990599"/>
          <a:ext cx="1114090" cy="292421"/>
          <a:chOff x="2536550" y="990599"/>
          <a:chExt cx="1114090" cy="292421"/>
        </a:xfrm>
      </xdr:grpSpPr>
      <xdr:sp macro="" textlink="">
        <xdr:nvSpPr>
          <xdr:cNvPr id="50" name="Rectangle: Rounded Corners 49">
            <a:extLst>
              <a:ext uri="{FF2B5EF4-FFF2-40B4-BE49-F238E27FC236}">
                <a16:creationId xmlns:a16="http://schemas.microsoft.com/office/drawing/2014/main" id="{1185E39E-AF75-E85D-BD54-18C85BC3429D}"/>
              </a:ext>
            </a:extLst>
          </xdr:cNvPr>
          <xdr:cNvSpPr/>
        </xdr:nvSpPr>
        <xdr:spPr>
          <a:xfrm>
            <a:off x="2536550" y="990599"/>
            <a:ext cx="1114090" cy="292421"/>
          </a:xfrm>
          <a:prstGeom prst="roundRect">
            <a:avLst/>
          </a:prstGeom>
          <a:solidFill>
            <a:srgbClr val="1D54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8" name="Graphic 47" descr="House with solid fill">
            <a:extLst>
              <a:ext uri="{FF2B5EF4-FFF2-40B4-BE49-F238E27FC236}">
                <a16:creationId xmlns:a16="http://schemas.microsoft.com/office/drawing/2014/main" id="{14A3EA1B-DDDD-80A8-3FEF-F49AAF088DF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2225" y="1030858"/>
            <a:ext cx="200025" cy="200025"/>
          </a:xfrm>
          <a:prstGeom prst="rect">
            <a:avLst/>
          </a:prstGeom>
        </xdr:spPr>
      </xdr:pic>
      <xdr:sp macro="" textlink="">
        <xdr:nvSpPr>
          <xdr:cNvPr id="49" name="TextBox 48">
            <a:extLst>
              <a:ext uri="{FF2B5EF4-FFF2-40B4-BE49-F238E27FC236}">
                <a16:creationId xmlns:a16="http://schemas.microsoft.com/office/drawing/2014/main" id="{529DAACA-FBE3-3E31-6103-728A6E4232E4}"/>
              </a:ext>
            </a:extLst>
          </xdr:cNvPr>
          <xdr:cNvSpPr txBox="1"/>
        </xdr:nvSpPr>
        <xdr:spPr>
          <a:xfrm>
            <a:off x="2694212" y="1011808"/>
            <a:ext cx="750094"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Overview</a:t>
            </a:r>
          </a:p>
        </xdr:txBody>
      </xdr:sp>
    </xdr:grpSp>
    <xdr:clientData/>
  </xdr:twoCellAnchor>
  <xdr:twoCellAnchor>
    <xdr:from>
      <xdr:col>4</xdr:col>
      <xdr:colOff>265337</xdr:colOff>
      <xdr:row>7</xdr:row>
      <xdr:rowOff>120538</xdr:rowOff>
    </xdr:from>
    <xdr:to>
      <xdr:col>5</xdr:col>
      <xdr:colOff>512987</xdr:colOff>
      <xdr:row>8</xdr:row>
      <xdr:rowOff>166006</xdr:rowOff>
    </xdr:to>
    <xdr:sp macro="" textlink="">
      <xdr:nvSpPr>
        <xdr:cNvPr id="53" name="TextBox 52">
          <a:extLst>
            <a:ext uri="{FF2B5EF4-FFF2-40B4-BE49-F238E27FC236}">
              <a16:creationId xmlns:a16="http://schemas.microsoft.com/office/drawing/2014/main" id="{1DFB4CCA-F2AD-5CE0-B4FB-28582D643EA7}"/>
            </a:ext>
          </a:extLst>
        </xdr:cNvPr>
        <xdr:cNvSpPr txBox="1"/>
      </xdr:nvSpPr>
      <xdr:spPr>
        <a:xfrm>
          <a:off x="2716989" y="1454038"/>
          <a:ext cx="860563"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Performance</a:t>
          </a:r>
        </a:p>
      </xdr:txBody>
    </xdr:sp>
    <xdr:clientData/>
  </xdr:twoCellAnchor>
  <xdr:twoCellAnchor>
    <xdr:from>
      <xdr:col>4</xdr:col>
      <xdr:colOff>265337</xdr:colOff>
      <xdr:row>10</xdr:row>
      <xdr:rowOff>21206</xdr:rowOff>
    </xdr:from>
    <xdr:to>
      <xdr:col>5</xdr:col>
      <xdr:colOff>570137</xdr:colOff>
      <xdr:row>11</xdr:row>
      <xdr:rowOff>66674</xdr:rowOff>
    </xdr:to>
    <xdr:sp macro="" textlink="">
      <xdr:nvSpPr>
        <xdr:cNvPr id="55" name="TextBox 54">
          <a:extLst>
            <a:ext uri="{FF2B5EF4-FFF2-40B4-BE49-F238E27FC236}">
              <a16:creationId xmlns:a16="http://schemas.microsoft.com/office/drawing/2014/main" id="{93DFFCC9-C950-9199-E1CA-AEAA780FF9AE}"/>
            </a:ext>
          </a:extLst>
        </xdr:cNvPr>
        <xdr:cNvSpPr txBox="1"/>
      </xdr:nvSpPr>
      <xdr:spPr>
        <a:xfrm>
          <a:off x="2716989" y="1926206"/>
          <a:ext cx="917713"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Energy Access</a:t>
          </a:r>
        </a:p>
      </xdr:txBody>
    </xdr:sp>
    <xdr:clientData/>
  </xdr:twoCellAnchor>
  <xdr:twoCellAnchor>
    <xdr:from>
      <xdr:col>4</xdr:col>
      <xdr:colOff>265337</xdr:colOff>
      <xdr:row>12</xdr:row>
      <xdr:rowOff>101489</xdr:rowOff>
    </xdr:from>
    <xdr:to>
      <xdr:col>5</xdr:col>
      <xdr:colOff>541562</xdr:colOff>
      <xdr:row>13</xdr:row>
      <xdr:rowOff>146957</xdr:rowOff>
    </xdr:to>
    <xdr:sp macro="" textlink="">
      <xdr:nvSpPr>
        <xdr:cNvPr id="57" name="TextBox 56">
          <a:extLst>
            <a:ext uri="{FF2B5EF4-FFF2-40B4-BE49-F238E27FC236}">
              <a16:creationId xmlns:a16="http://schemas.microsoft.com/office/drawing/2014/main" id="{B73622F4-2923-993B-B70B-D742C7305A90}"/>
            </a:ext>
          </a:extLst>
        </xdr:cNvPr>
        <xdr:cNvSpPr txBox="1"/>
      </xdr:nvSpPr>
      <xdr:spPr>
        <a:xfrm>
          <a:off x="2716989" y="2387489"/>
          <a:ext cx="889138"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Communities</a:t>
          </a:r>
        </a:p>
      </xdr:txBody>
    </xdr:sp>
    <xdr:clientData/>
  </xdr:twoCellAnchor>
  <xdr:twoCellAnchor>
    <xdr:from>
      <xdr:col>4</xdr:col>
      <xdr:colOff>133350</xdr:colOff>
      <xdr:row>17</xdr:row>
      <xdr:rowOff>78358</xdr:rowOff>
    </xdr:from>
    <xdr:to>
      <xdr:col>5</xdr:col>
      <xdr:colOff>408212</xdr:colOff>
      <xdr:row>18</xdr:row>
      <xdr:rowOff>123826</xdr:rowOff>
    </xdr:to>
    <xdr:grpSp>
      <xdr:nvGrpSpPr>
        <xdr:cNvPr id="8" name="Group 7">
          <a:hlinkClick xmlns:r="http://schemas.openxmlformats.org/officeDocument/2006/relationships" r:id="rId9"/>
          <a:extLst>
            <a:ext uri="{FF2B5EF4-FFF2-40B4-BE49-F238E27FC236}">
              <a16:creationId xmlns:a16="http://schemas.microsoft.com/office/drawing/2014/main" id="{E9B85446-BC3C-B768-6CE5-355CABF9AC06}"/>
            </a:ext>
          </a:extLst>
        </xdr:cNvPr>
        <xdr:cNvGrpSpPr/>
      </xdr:nvGrpSpPr>
      <xdr:grpSpPr>
        <a:xfrm>
          <a:off x="2562225" y="3316858"/>
          <a:ext cx="882081" cy="235968"/>
          <a:chOff x="2562225" y="3316858"/>
          <a:chExt cx="882081" cy="235968"/>
        </a:xfrm>
      </xdr:grpSpPr>
      <xdr:sp macro="" textlink="">
        <xdr:nvSpPr>
          <xdr:cNvPr id="59" name="TextBox 58">
            <a:extLst>
              <a:ext uri="{FF2B5EF4-FFF2-40B4-BE49-F238E27FC236}">
                <a16:creationId xmlns:a16="http://schemas.microsoft.com/office/drawing/2014/main" id="{1A353BED-24D2-926A-833C-0E824D897704}"/>
              </a:ext>
            </a:extLst>
          </xdr:cNvPr>
          <xdr:cNvSpPr txBox="1"/>
        </xdr:nvSpPr>
        <xdr:spPr>
          <a:xfrm>
            <a:off x="2694212" y="3316858"/>
            <a:ext cx="750094"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Reports</a:t>
            </a:r>
          </a:p>
        </xdr:txBody>
      </xdr:sp>
      <xdr:pic>
        <xdr:nvPicPr>
          <xdr:cNvPr id="61" name="Graphic 60" descr="Document with solid fill">
            <a:extLst>
              <a:ext uri="{FF2B5EF4-FFF2-40B4-BE49-F238E27FC236}">
                <a16:creationId xmlns:a16="http://schemas.microsoft.com/office/drawing/2014/main" id="{35FFC5AC-1905-8F81-31FA-9F7876F9E88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62225" y="3333750"/>
            <a:ext cx="201600" cy="201600"/>
          </a:xfrm>
          <a:prstGeom prst="rect">
            <a:avLst/>
          </a:prstGeom>
        </xdr:spPr>
      </xdr:pic>
    </xdr:grpSp>
    <xdr:clientData/>
  </xdr:twoCellAnchor>
  <xdr:twoCellAnchor editAs="oneCell">
    <xdr:from>
      <xdr:col>4</xdr:col>
      <xdr:colOff>133350</xdr:colOff>
      <xdr:row>12</xdr:row>
      <xdr:rowOff>114056</xdr:rowOff>
    </xdr:from>
    <xdr:to>
      <xdr:col>4</xdr:col>
      <xdr:colOff>334950</xdr:colOff>
      <xdr:row>13</xdr:row>
      <xdr:rowOff>125156</xdr:rowOff>
    </xdr:to>
    <xdr:pic>
      <xdr:nvPicPr>
        <xdr:cNvPr id="69" name="Graphic 68" descr="Users with solid fill">
          <a:extLst>
            <a:ext uri="{FF2B5EF4-FFF2-40B4-BE49-F238E27FC236}">
              <a16:creationId xmlns:a16="http://schemas.microsoft.com/office/drawing/2014/main" id="{1DC188EC-B732-FEF8-2F90-012D83F8590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62225" y="2400056"/>
          <a:ext cx="201600" cy="201600"/>
        </a:xfrm>
        <a:prstGeom prst="rect">
          <a:avLst/>
        </a:prstGeom>
      </xdr:spPr>
    </xdr:pic>
    <xdr:clientData/>
  </xdr:twoCellAnchor>
  <xdr:twoCellAnchor editAs="oneCell">
    <xdr:from>
      <xdr:col>4</xdr:col>
      <xdr:colOff>133350</xdr:colOff>
      <xdr:row>10</xdr:row>
      <xdr:rowOff>46069</xdr:rowOff>
    </xdr:from>
    <xdr:to>
      <xdr:col>4</xdr:col>
      <xdr:colOff>334950</xdr:colOff>
      <xdr:row>11</xdr:row>
      <xdr:rowOff>57169</xdr:rowOff>
    </xdr:to>
    <xdr:pic>
      <xdr:nvPicPr>
        <xdr:cNvPr id="71" name="Graphic 70" descr="Atom with solid fill">
          <a:extLst>
            <a:ext uri="{FF2B5EF4-FFF2-40B4-BE49-F238E27FC236}">
              <a16:creationId xmlns:a16="http://schemas.microsoft.com/office/drawing/2014/main" id="{1AEDFD5D-2310-1795-7B71-DD071AF1F96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71750" y="1951069"/>
          <a:ext cx="201600" cy="201600"/>
        </a:xfrm>
        <a:prstGeom prst="rect">
          <a:avLst/>
        </a:prstGeom>
      </xdr:spPr>
    </xdr:pic>
    <xdr:clientData/>
  </xdr:twoCellAnchor>
  <xdr:twoCellAnchor editAs="oneCell">
    <xdr:from>
      <xdr:col>4</xdr:col>
      <xdr:colOff>133350</xdr:colOff>
      <xdr:row>7</xdr:row>
      <xdr:rowOff>156676</xdr:rowOff>
    </xdr:from>
    <xdr:to>
      <xdr:col>4</xdr:col>
      <xdr:colOff>334950</xdr:colOff>
      <xdr:row>8</xdr:row>
      <xdr:rowOff>167776</xdr:rowOff>
    </xdr:to>
    <xdr:pic>
      <xdr:nvPicPr>
        <xdr:cNvPr id="73" name="Graphic 72" descr="Splash with solid fill">
          <a:extLst>
            <a:ext uri="{FF2B5EF4-FFF2-40B4-BE49-F238E27FC236}">
              <a16:creationId xmlns:a16="http://schemas.microsoft.com/office/drawing/2014/main" id="{1E6B5152-3727-2961-A75C-E82FE290B08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71750" y="1490176"/>
          <a:ext cx="201600" cy="201600"/>
        </a:xfrm>
        <a:prstGeom prst="rect">
          <a:avLst/>
        </a:prstGeom>
      </xdr:spPr>
    </xdr:pic>
    <xdr:clientData/>
  </xdr:twoCellAnchor>
  <xdr:twoCellAnchor>
    <xdr:from>
      <xdr:col>4</xdr:col>
      <xdr:colOff>118028</xdr:colOff>
      <xdr:row>14</xdr:row>
      <xdr:rowOff>177689</xdr:rowOff>
    </xdr:from>
    <xdr:to>
      <xdr:col>5</xdr:col>
      <xdr:colOff>541562</xdr:colOff>
      <xdr:row>16</xdr:row>
      <xdr:rowOff>32657</xdr:rowOff>
    </xdr:to>
    <xdr:grpSp>
      <xdr:nvGrpSpPr>
        <xdr:cNvPr id="7" name="Group 6">
          <a:hlinkClick xmlns:r="http://schemas.openxmlformats.org/officeDocument/2006/relationships" r:id="rId18"/>
          <a:extLst>
            <a:ext uri="{FF2B5EF4-FFF2-40B4-BE49-F238E27FC236}">
              <a16:creationId xmlns:a16="http://schemas.microsoft.com/office/drawing/2014/main" id="{8BFE3E76-1EB4-5E48-AEC4-EE8CCA9A1C07}"/>
            </a:ext>
          </a:extLst>
        </xdr:cNvPr>
        <xdr:cNvGrpSpPr/>
      </xdr:nvGrpSpPr>
      <xdr:grpSpPr>
        <a:xfrm>
          <a:off x="2546903" y="2844689"/>
          <a:ext cx="1030753" cy="235968"/>
          <a:chOff x="2573361" y="2844689"/>
          <a:chExt cx="1037368" cy="235968"/>
        </a:xfrm>
      </xdr:grpSpPr>
      <xdr:sp macro="" textlink="">
        <xdr:nvSpPr>
          <xdr:cNvPr id="63" name="TextBox 62">
            <a:extLst>
              <a:ext uri="{FF2B5EF4-FFF2-40B4-BE49-F238E27FC236}">
                <a16:creationId xmlns:a16="http://schemas.microsoft.com/office/drawing/2014/main" id="{A8E158F3-578D-5611-B5D4-0F6E40F1E4E9}"/>
              </a:ext>
            </a:extLst>
          </xdr:cNvPr>
          <xdr:cNvSpPr txBox="1"/>
        </xdr:nvSpPr>
        <xdr:spPr>
          <a:xfrm>
            <a:off x="2720670" y="2844689"/>
            <a:ext cx="890059"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solidFill>
              </a:rPr>
              <a:t>Dataset</a:t>
            </a:r>
          </a:p>
        </xdr:txBody>
      </xdr:sp>
      <xdr:pic>
        <xdr:nvPicPr>
          <xdr:cNvPr id="75" name="Graphic 74" descr="Database with solid fill">
            <a:extLst>
              <a:ext uri="{FF2B5EF4-FFF2-40B4-BE49-F238E27FC236}">
                <a16:creationId xmlns:a16="http://schemas.microsoft.com/office/drawing/2014/main" id="{1E65232B-BDBD-6B4C-BAD5-4C9244E2F83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73361" y="2874066"/>
            <a:ext cx="201600" cy="201600"/>
          </a:xfrm>
          <a:prstGeom prst="rect">
            <a:avLst/>
          </a:prstGeom>
        </xdr:spPr>
      </xdr:pic>
    </xdr:grpSp>
    <xdr:clientData/>
  </xdr:twoCellAnchor>
  <xdr:twoCellAnchor editAs="oneCell">
    <xdr:from>
      <xdr:col>6</xdr:col>
      <xdr:colOff>231914</xdr:colOff>
      <xdr:row>9</xdr:row>
      <xdr:rowOff>109560</xdr:rowOff>
    </xdr:from>
    <xdr:to>
      <xdr:col>6</xdr:col>
      <xdr:colOff>512714</xdr:colOff>
      <xdr:row>11</xdr:row>
      <xdr:rowOff>9360</xdr:rowOff>
    </xdr:to>
    <xdr:pic>
      <xdr:nvPicPr>
        <xdr:cNvPr id="77" name="Graphic 76" descr="Bullseye with solid fill">
          <a:extLst>
            <a:ext uri="{FF2B5EF4-FFF2-40B4-BE49-F238E27FC236}">
              <a16:creationId xmlns:a16="http://schemas.microsoft.com/office/drawing/2014/main" id="{C2DED05A-6327-C492-BB25-D58F4527B5F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914914" y="1824060"/>
          <a:ext cx="280800" cy="280800"/>
        </a:xfrm>
        <a:prstGeom prst="rect">
          <a:avLst/>
        </a:prstGeom>
      </xdr:spPr>
    </xdr:pic>
    <xdr:clientData/>
  </xdr:twoCellAnchor>
  <xdr:twoCellAnchor editAs="oneCell">
    <xdr:from>
      <xdr:col>9</xdr:col>
      <xdr:colOff>455544</xdr:colOff>
      <xdr:row>9</xdr:row>
      <xdr:rowOff>101278</xdr:rowOff>
    </xdr:from>
    <xdr:to>
      <xdr:col>10</xdr:col>
      <xdr:colOff>123431</xdr:colOff>
      <xdr:row>11</xdr:row>
      <xdr:rowOff>1078</xdr:rowOff>
    </xdr:to>
    <xdr:pic>
      <xdr:nvPicPr>
        <xdr:cNvPr id="80" name="Graphic 79" descr="Bullseye with solid fill">
          <a:extLst>
            <a:ext uri="{FF2B5EF4-FFF2-40B4-BE49-F238E27FC236}">
              <a16:creationId xmlns:a16="http://schemas.microsoft.com/office/drawing/2014/main" id="{E3BD83DD-C785-FB57-0474-7E6E049D327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980044" y="1815778"/>
          <a:ext cx="281720" cy="280800"/>
        </a:xfrm>
        <a:prstGeom prst="rect">
          <a:avLst/>
        </a:prstGeom>
      </xdr:spPr>
    </xdr:pic>
    <xdr:clientData/>
  </xdr:twoCellAnchor>
  <xdr:twoCellAnchor editAs="oneCell">
    <xdr:from>
      <xdr:col>13</xdr:col>
      <xdr:colOff>124239</xdr:colOff>
      <xdr:row>9</xdr:row>
      <xdr:rowOff>101278</xdr:rowOff>
    </xdr:from>
    <xdr:to>
      <xdr:col>13</xdr:col>
      <xdr:colOff>405039</xdr:colOff>
      <xdr:row>11</xdr:row>
      <xdr:rowOff>1078</xdr:rowOff>
    </xdr:to>
    <xdr:pic>
      <xdr:nvPicPr>
        <xdr:cNvPr id="82" name="Graphic 81" descr="Fireworks with solid fill">
          <a:extLst>
            <a:ext uri="{FF2B5EF4-FFF2-40B4-BE49-F238E27FC236}">
              <a16:creationId xmlns:a16="http://schemas.microsoft.com/office/drawing/2014/main" id="{565B4F0B-4E6E-29DE-399B-84BFDF47655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104072" y="1815778"/>
          <a:ext cx="280800" cy="280800"/>
        </a:xfrm>
        <a:prstGeom prst="rect">
          <a:avLst/>
        </a:prstGeom>
      </xdr:spPr>
    </xdr:pic>
    <xdr:clientData/>
  </xdr:twoCellAnchor>
  <xdr:twoCellAnchor editAs="oneCell">
    <xdr:from>
      <xdr:col>16</xdr:col>
      <xdr:colOff>323022</xdr:colOff>
      <xdr:row>9</xdr:row>
      <xdr:rowOff>84712</xdr:rowOff>
    </xdr:from>
    <xdr:to>
      <xdr:col>16</xdr:col>
      <xdr:colOff>603822</xdr:colOff>
      <xdr:row>10</xdr:row>
      <xdr:rowOff>175012</xdr:rowOff>
    </xdr:to>
    <xdr:pic>
      <xdr:nvPicPr>
        <xdr:cNvPr id="84" name="Graphic 83" descr="Clock with solid fill">
          <a:extLst>
            <a:ext uri="{FF2B5EF4-FFF2-40B4-BE49-F238E27FC236}">
              <a16:creationId xmlns:a16="http://schemas.microsoft.com/office/drawing/2014/main" id="{59E82F51-D936-F091-FCA8-B34F5CA25323}"/>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0144355" y="1799212"/>
          <a:ext cx="280800" cy="280800"/>
        </a:xfrm>
        <a:prstGeom prst="rect">
          <a:avLst/>
        </a:prstGeom>
      </xdr:spPr>
    </xdr:pic>
    <xdr:clientData/>
  </xdr:twoCellAnchor>
  <xdr:twoCellAnchor editAs="oneCell">
    <xdr:from>
      <xdr:col>23</xdr:col>
      <xdr:colOff>232826</xdr:colOff>
      <xdr:row>9</xdr:row>
      <xdr:rowOff>85625</xdr:rowOff>
    </xdr:from>
    <xdr:to>
      <xdr:col>23</xdr:col>
      <xdr:colOff>513626</xdr:colOff>
      <xdr:row>10</xdr:row>
      <xdr:rowOff>175925</xdr:rowOff>
    </xdr:to>
    <xdr:pic>
      <xdr:nvPicPr>
        <xdr:cNvPr id="86" name="Graphic 85" descr="Briefcase with solid fill">
          <a:extLst>
            <a:ext uri="{FF2B5EF4-FFF2-40B4-BE49-F238E27FC236}">
              <a16:creationId xmlns:a16="http://schemas.microsoft.com/office/drawing/2014/main" id="{281B96D5-E837-E790-6097-5CB627B2AB67}"/>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4350993" y="1800125"/>
          <a:ext cx="280800" cy="280800"/>
        </a:xfrm>
        <a:prstGeom prst="rect">
          <a:avLst/>
        </a:prstGeom>
      </xdr:spPr>
    </xdr:pic>
    <xdr:clientData/>
  </xdr:twoCellAnchor>
  <xdr:twoCellAnchor editAs="oneCell">
    <xdr:from>
      <xdr:col>20</xdr:col>
      <xdr:colOff>25676</xdr:colOff>
      <xdr:row>9</xdr:row>
      <xdr:rowOff>86436</xdr:rowOff>
    </xdr:from>
    <xdr:to>
      <xdr:col>20</xdr:col>
      <xdr:colOff>306476</xdr:colOff>
      <xdr:row>10</xdr:row>
      <xdr:rowOff>176736</xdr:rowOff>
    </xdr:to>
    <xdr:pic>
      <xdr:nvPicPr>
        <xdr:cNvPr id="87" name="Graphic 86" descr="Users with solid fill">
          <a:extLst>
            <a:ext uri="{FF2B5EF4-FFF2-40B4-BE49-F238E27FC236}">
              <a16:creationId xmlns:a16="http://schemas.microsoft.com/office/drawing/2014/main" id="{858F1668-24D9-6591-95A3-108615123D19}"/>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2302343" y="1800936"/>
          <a:ext cx="280800" cy="280800"/>
        </a:xfrm>
        <a:prstGeom prst="rect">
          <a:avLst/>
        </a:prstGeom>
      </xdr:spPr>
    </xdr:pic>
    <xdr:clientData/>
  </xdr:twoCellAnchor>
  <xdr:twoCellAnchor>
    <xdr:from>
      <xdr:col>6</xdr:col>
      <xdr:colOff>464120</xdr:colOff>
      <xdr:row>9</xdr:row>
      <xdr:rowOff>94325</xdr:rowOff>
    </xdr:from>
    <xdr:to>
      <xdr:col>9</xdr:col>
      <xdr:colOff>107675</xdr:colOff>
      <xdr:row>10</xdr:row>
      <xdr:rowOff>139793</xdr:rowOff>
    </xdr:to>
    <xdr:sp macro="" textlink="">
      <xdr:nvSpPr>
        <xdr:cNvPr id="88" name="TextBox 87">
          <a:extLst>
            <a:ext uri="{FF2B5EF4-FFF2-40B4-BE49-F238E27FC236}">
              <a16:creationId xmlns:a16="http://schemas.microsoft.com/office/drawing/2014/main" id="{FD634895-61DE-935A-C305-847FBEF3F15B}"/>
            </a:ext>
          </a:extLst>
        </xdr:cNvPr>
        <xdr:cNvSpPr txBox="1"/>
      </xdr:nvSpPr>
      <xdr:spPr>
        <a:xfrm>
          <a:off x="4147120" y="1808825"/>
          <a:ext cx="1485055"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Target Achievement Rate</a:t>
          </a:r>
        </a:p>
      </xdr:txBody>
    </xdr:sp>
    <xdr:clientData/>
  </xdr:twoCellAnchor>
  <xdr:twoCellAnchor>
    <xdr:from>
      <xdr:col>10</xdr:col>
      <xdr:colOff>124533</xdr:colOff>
      <xdr:row>9</xdr:row>
      <xdr:rowOff>94325</xdr:rowOff>
    </xdr:from>
    <xdr:to>
      <xdr:col>12</xdr:col>
      <xdr:colOff>381000</xdr:colOff>
      <xdr:row>10</xdr:row>
      <xdr:rowOff>139793</xdr:rowOff>
    </xdr:to>
    <xdr:sp macro="" textlink="">
      <xdr:nvSpPr>
        <xdr:cNvPr id="89" name="TextBox 88">
          <a:extLst>
            <a:ext uri="{FF2B5EF4-FFF2-40B4-BE49-F238E27FC236}">
              <a16:creationId xmlns:a16="http://schemas.microsoft.com/office/drawing/2014/main" id="{372470FA-A120-09FB-6732-397CE99FD5A1}"/>
            </a:ext>
          </a:extLst>
        </xdr:cNvPr>
        <xdr:cNvSpPr txBox="1"/>
      </xdr:nvSpPr>
      <xdr:spPr>
        <a:xfrm>
          <a:off x="6262866" y="1808825"/>
          <a:ext cx="1484134"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Target Gap</a:t>
          </a:r>
        </a:p>
      </xdr:txBody>
    </xdr:sp>
    <xdr:clientData/>
  </xdr:twoCellAnchor>
  <xdr:twoCellAnchor>
    <xdr:from>
      <xdr:col>13</xdr:col>
      <xdr:colOff>373010</xdr:colOff>
      <xdr:row>9</xdr:row>
      <xdr:rowOff>94325</xdr:rowOff>
    </xdr:from>
    <xdr:to>
      <xdr:col>16</xdr:col>
      <xdr:colOff>16565</xdr:colOff>
      <xdr:row>10</xdr:row>
      <xdr:rowOff>139793</xdr:rowOff>
    </xdr:to>
    <xdr:sp macro="" textlink="">
      <xdr:nvSpPr>
        <xdr:cNvPr id="90" name="TextBox 89">
          <a:extLst>
            <a:ext uri="{FF2B5EF4-FFF2-40B4-BE49-F238E27FC236}">
              <a16:creationId xmlns:a16="http://schemas.microsoft.com/office/drawing/2014/main" id="{8CD47CAA-4BFB-4869-8ECB-12284ADDF5F9}"/>
            </a:ext>
          </a:extLst>
        </xdr:cNvPr>
        <xdr:cNvSpPr txBox="1"/>
      </xdr:nvSpPr>
      <xdr:spPr>
        <a:xfrm>
          <a:off x="8352843" y="1808825"/>
          <a:ext cx="1485055"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Access to Clean Energy</a:t>
          </a:r>
        </a:p>
      </xdr:txBody>
    </xdr:sp>
    <xdr:clientData/>
  </xdr:twoCellAnchor>
  <xdr:twoCellAnchor>
    <xdr:from>
      <xdr:col>16</xdr:col>
      <xdr:colOff>571793</xdr:colOff>
      <xdr:row>9</xdr:row>
      <xdr:rowOff>94325</xdr:rowOff>
    </xdr:from>
    <xdr:to>
      <xdr:col>19</xdr:col>
      <xdr:colOff>215348</xdr:colOff>
      <xdr:row>10</xdr:row>
      <xdr:rowOff>139793</xdr:rowOff>
    </xdr:to>
    <xdr:sp macro="" textlink="">
      <xdr:nvSpPr>
        <xdr:cNvPr id="91" name="TextBox 90">
          <a:extLst>
            <a:ext uri="{FF2B5EF4-FFF2-40B4-BE49-F238E27FC236}">
              <a16:creationId xmlns:a16="http://schemas.microsoft.com/office/drawing/2014/main" id="{6BFD88C7-22EC-1EC4-EB70-7352D794D64E}"/>
            </a:ext>
          </a:extLst>
        </xdr:cNvPr>
        <xdr:cNvSpPr txBox="1"/>
      </xdr:nvSpPr>
      <xdr:spPr>
        <a:xfrm>
          <a:off x="10393126" y="1808825"/>
          <a:ext cx="1485055"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System Uptime</a:t>
          </a:r>
        </a:p>
      </xdr:txBody>
    </xdr:sp>
    <xdr:clientData/>
  </xdr:twoCellAnchor>
  <xdr:twoCellAnchor>
    <xdr:from>
      <xdr:col>20</xdr:col>
      <xdr:colOff>257054</xdr:colOff>
      <xdr:row>9</xdr:row>
      <xdr:rowOff>94325</xdr:rowOff>
    </xdr:from>
    <xdr:to>
      <xdr:col>22</xdr:col>
      <xdr:colOff>513522</xdr:colOff>
      <xdr:row>10</xdr:row>
      <xdr:rowOff>139793</xdr:rowOff>
    </xdr:to>
    <xdr:sp macro="" textlink="">
      <xdr:nvSpPr>
        <xdr:cNvPr id="92" name="TextBox 91">
          <a:extLst>
            <a:ext uri="{FF2B5EF4-FFF2-40B4-BE49-F238E27FC236}">
              <a16:creationId xmlns:a16="http://schemas.microsoft.com/office/drawing/2014/main" id="{AE9B8FEC-3AF9-8D1D-7E50-6ED042348996}"/>
            </a:ext>
          </a:extLst>
        </xdr:cNvPr>
        <xdr:cNvSpPr txBox="1"/>
      </xdr:nvSpPr>
      <xdr:spPr>
        <a:xfrm>
          <a:off x="12533721" y="1808825"/>
          <a:ext cx="1484134"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Community Satisfaction</a:t>
          </a:r>
        </a:p>
      </xdr:txBody>
    </xdr:sp>
    <xdr:clientData/>
  </xdr:twoCellAnchor>
  <xdr:twoCellAnchor>
    <xdr:from>
      <xdr:col>23</xdr:col>
      <xdr:colOff>472397</xdr:colOff>
      <xdr:row>9</xdr:row>
      <xdr:rowOff>94325</xdr:rowOff>
    </xdr:from>
    <xdr:to>
      <xdr:col>26</xdr:col>
      <xdr:colOff>314735</xdr:colOff>
      <xdr:row>10</xdr:row>
      <xdr:rowOff>139793</xdr:rowOff>
    </xdr:to>
    <xdr:sp macro="" textlink="">
      <xdr:nvSpPr>
        <xdr:cNvPr id="93" name="TextBox 92">
          <a:extLst>
            <a:ext uri="{FF2B5EF4-FFF2-40B4-BE49-F238E27FC236}">
              <a16:creationId xmlns:a16="http://schemas.microsoft.com/office/drawing/2014/main" id="{DAB56BD0-0C9C-9DAE-CBB0-B34D17C6F84D}"/>
            </a:ext>
          </a:extLst>
        </xdr:cNvPr>
        <xdr:cNvSpPr txBox="1"/>
      </xdr:nvSpPr>
      <xdr:spPr>
        <a:xfrm>
          <a:off x="14590564" y="1808825"/>
          <a:ext cx="1683838" cy="23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i="0">
              <a:solidFill>
                <a:schemeClr val="bg2">
                  <a:lumMod val="25000"/>
                </a:schemeClr>
              </a:solidFill>
            </a:rPr>
            <a:t>Training-to-Employment Rate</a:t>
          </a:r>
        </a:p>
      </xdr:txBody>
    </xdr:sp>
    <xdr:clientData/>
  </xdr:twoCellAnchor>
  <xdr:twoCellAnchor>
    <xdr:from>
      <xdr:col>7</xdr:col>
      <xdr:colOff>66554</xdr:colOff>
      <xdr:row>11</xdr:row>
      <xdr:rowOff>58709</xdr:rowOff>
    </xdr:from>
    <xdr:to>
      <xdr:col>8</xdr:col>
      <xdr:colOff>405849</xdr:colOff>
      <xdr:row>13</xdr:row>
      <xdr:rowOff>49096</xdr:rowOff>
    </xdr:to>
    <xdr:sp macro="" textlink="achiev_rate">
      <xdr:nvSpPr>
        <xdr:cNvPr id="94" name="TextBox 93">
          <a:extLst>
            <a:ext uri="{FF2B5EF4-FFF2-40B4-BE49-F238E27FC236}">
              <a16:creationId xmlns:a16="http://schemas.microsoft.com/office/drawing/2014/main" id="{5F7FD1B2-A7D0-6AF2-F14B-8B40E74675A3}"/>
            </a:ext>
          </a:extLst>
        </xdr:cNvPr>
        <xdr:cNvSpPr txBox="1"/>
      </xdr:nvSpPr>
      <xdr:spPr>
        <a:xfrm>
          <a:off x="4317085" y="2154209"/>
          <a:ext cx="946514"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C8C1A32-2072-44D2-9135-3F6C09700300}" type="TxLink">
            <a:rPr lang="en-US" sz="1800" b="1" i="0" u="none" strike="noStrike">
              <a:solidFill>
                <a:srgbClr val="000000"/>
              </a:solidFill>
              <a:latin typeface="Aptos Narrow"/>
            </a:rPr>
            <a:pPr algn="l"/>
            <a:t>95.09%</a:t>
          </a:fld>
          <a:endParaRPr lang="en-US" sz="1400" b="1" i="0">
            <a:solidFill>
              <a:schemeClr val="bg2">
                <a:lumMod val="25000"/>
              </a:schemeClr>
            </a:solidFill>
          </a:endParaRPr>
        </a:p>
      </xdr:txBody>
    </xdr:sp>
    <xdr:clientData/>
  </xdr:twoCellAnchor>
  <xdr:twoCellAnchor>
    <xdr:from>
      <xdr:col>10</xdr:col>
      <xdr:colOff>202389</xdr:colOff>
      <xdr:row>11</xdr:row>
      <xdr:rowOff>58709</xdr:rowOff>
    </xdr:from>
    <xdr:to>
      <xdr:col>11</xdr:col>
      <xdr:colOff>392906</xdr:colOff>
      <xdr:row>13</xdr:row>
      <xdr:rowOff>49096</xdr:rowOff>
    </xdr:to>
    <xdr:sp macro="" textlink="trgt_gap">
      <xdr:nvSpPr>
        <xdr:cNvPr id="95" name="TextBox 94">
          <a:extLst>
            <a:ext uri="{FF2B5EF4-FFF2-40B4-BE49-F238E27FC236}">
              <a16:creationId xmlns:a16="http://schemas.microsoft.com/office/drawing/2014/main" id="{D284B733-F425-3D4E-FA5F-31DE7BE6D55C}"/>
            </a:ext>
          </a:extLst>
        </xdr:cNvPr>
        <xdr:cNvSpPr txBox="1"/>
      </xdr:nvSpPr>
      <xdr:spPr>
        <a:xfrm>
          <a:off x="6274577" y="2154209"/>
          <a:ext cx="797735"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3B092B5-0AD0-4217-AE88-7A6AA109F03D}" type="TxLink">
            <a:rPr lang="en-US" sz="1800" b="1" i="0" u="none" strike="noStrike">
              <a:solidFill>
                <a:srgbClr val="000000"/>
              </a:solidFill>
              <a:latin typeface="Aptos Narrow"/>
            </a:rPr>
            <a:pPr algn="l"/>
            <a:t>-35</a:t>
          </a:fld>
          <a:endParaRPr lang="en-US" sz="1800" b="1" i="0" u="none" strike="noStrike">
            <a:solidFill>
              <a:srgbClr val="000000"/>
            </a:solidFill>
            <a:latin typeface="Aptos Narrow"/>
          </a:endParaRPr>
        </a:p>
      </xdr:txBody>
    </xdr:sp>
    <xdr:clientData/>
  </xdr:twoCellAnchor>
  <xdr:twoCellAnchor>
    <xdr:from>
      <xdr:col>13</xdr:col>
      <xdr:colOff>479028</xdr:colOff>
      <xdr:row>11</xdr:row>
      <xdr:rowOff>58709</xdr:rowOff>
    </xdr:from>
    <xdr:to>
      <xdr:col>15</xdr:col>
      <xdr:colOff>205410</xdr:colOff>
      <xdr:row>13</xdr:row>
      <xdr:rowOff>49096</xdr:rowOff>
    </xdr:to>
    <xdr:sp macro="" textlink="clean_energy">
      <xdr:nvSpPr>
        <xdr:cNvPr id="96" name="TextBox 95">
          <a:extLst>
            <a:ext uri="{FF2B5EF4-FFF2-40B4-BE49-F238E27FC236}">
              <a16:creationId xmlns:a16="http://schemas.microsoft.com/office/drawing/2014/main" id="{4D90E43C-7FBA-EEB0-39C5-83D1394A92CD}"/>
            </a:ext>
          </a:extLst>
        </xdr:cNvPr>
        <xdr:cNvSpPr txBox="1"/>
      </xdr:nvSpPr>
      <xdr:spPr>
        <a:xfrm>
          <a:off x="8372872" y="2154209"/>
          <a:ext cx="940819"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EBD6F69-9709-4306-AEC6-9CB3057F34FB}" type="TxLink">
            <a:rPr lang="en-US" sz="1800" b="1" i="0" u="none" strike="noStrike">
              <a:solidFill>
                <a:srgbClr val="000000"/>
              </a:solidFill>
              <a:latin typeface="Aptos Narrow"/>
            </a:rPr>
            <a:pPr algn="l"/>
            <a:t>56.7K</a:t>
          </a:fld>
          <a:endParaRPr lang="en-US" sz="2000" b="1" i="0">
            <a:solidFill>
              <a:schemeClr val="bg2">
                <a:lumMod val="25000"/>
              </a:schemeClr>
            </a:solidFill>
          </a:endParaRPr>
        </a:p>
      </xdr:txBody>
    </xdr:sp>
    <xdr:clientData/>
  </xdr:twoCellAnchor>
  <xdr:twoCellAnchor>
    <xdr:from>
      <xdr:col>17</xdr:col>
      <xdr:colOff>43364</xdr:colOff>
      <xdr:row>11</xdr:row>
      <xdr:rowOff>58709</xdr:rowOff>
    </xdr:from>
    <xdr:to>
      <xdr:col>18</xdr:col>
      <xdr:colOff>382659</xdr:colOff>
      <xdr:row>13</xdr:row>
      <xdr:rowOff>49096</xdr:rowOff>
    </xdr:to>
    <xdr:sp macro="" textlink="system_uptime">
      <xdr:nvSpPr>
        <xdr:cNvPr id="97" name="TextBox 96">
          <a:extLst>
            <a:ext uri="{FF2B5EF4-FFF2-40B4-BE49-F238E27FC236}">
              <a16:creationId xmlns:a16="http://schemas.microsoft.com/office/drawing/2014/main" id="{DEF07BA7-10B6-471F-5AC4-EB83DB72F418}"/>
            </a:ext>
          </a:extLst>
        </xdr:cNvPr>
        <xdr:cNvSpPr txBox="1"/>
      </xdr:nvSpPr>
      <xdr:spPr>
        <a:xfrm>
          <a:off x="10366083" y="2154209"/>
          <a:ext cx="946514"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0AA558A-8971-43F7-9F30-715D9E542328}" type="TxLink">
            <a:rPr lang="en-US" sz="1800" b="1" i="0" u="none" strike="noStrike">
              <a:solidFill>
                <a:srgbClr val="000000"/>
              </a:solidFill>
              <a:latin typeface="Aptos Narrow"/>
            </a:rPr>
            <a:pPr algn="l"/>
            <a:t>88.35%</a:t>
          </a:fld>
          <a:endParaRPr lang="en-US" sz="2000" b="1" i="0">
            <a:solidFill>
              <a:schemeClr val="bg2">
                <a:lumMod val="25000"/>
              </a:schemeClr>
            </a:solidFill>
          </a:endParaRPr>
        </a:p>
      </xdr:txBody>
    </xdr:sp>
    <xdr:clientData/>
  </xdr:twoCellAnchor>
  <xdr:twoCellAnchor>
    <xdr:from>
      <xdr:col>20</xdr:col>
      <xdr:colOff>535351</xdr:colOff>
      <xdr:row>11</xdr:row>
      <xdr:rowOff>58709</xdr:rowOff>
    </xdr:from>
    <xdr:to>
      <xdr:col>21</xdr:col>
      <xdr:colOff>513521</xdr:colOff>
      <xdr:row>13</xdr:row>
      <xdr:rowOff>49096</xdr:rowOff>
    </xdr:to>
    <xdr:sp macro="" textlink="com_sat">
      <xdr:nvSpPr>
        <xdr:cNvPr id="98" name="TextBox 97">
          <a:extLst>
            <a:ext uri="{FF2B5EF4-FFF2-40B4-BE49-F238E27FC236}">
              <a16:creationId xmlns:a16="http://schemas.microsoft.com/office/drawing/2014/main" id="{D91487EB-E047-1070-9CBA-F2C32456E0C3}"/>
            </a:ext>
          </a:extLst>
        </xdr:cNvPr>
        <xdr:cNvSpPr txBox="1"/>
      </xdr:nvSpPr>
      <xdr:spPr>
        <a:xfrm>
          <a:off x="12679726" y="2154209"/>
          <a:ext cx="585389"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DC8462A-8419-40DF-AAD7-873B6EDA6FDD}" type="TxLink">
            <a:rPr lang="en-US" sz="1800" b="1" i="0" u="none" strike="noStrike">
              <a:solidFill>
                <a:srgbClr val="000000"/>
              </a:solidFill>
              <a:latin typeface="Aptos Narrow"/>
            </a:rPr>
            <a:pPr algn="l"/>
            <a:t>4.03</a:t>
          </a:fld>
          <a:endParaRPr lang="en-US" sz="2000" b="1" i="0">
            <a:solidFill>
              <a:schemeClr val="bg2">
                <a:lumMod val="25000"/>
              </a:schemeClr>
            </a:solidFill>
          </a:endParaRPr>
        </a:p>
      </xdr:txBody>
    </xdr:sp>
    <xdr:clientData/>
  </xdr:twoCellAnchor>
  <xdr:twoCellAnchor>
    <xdr:from>
      <xdr:col>24</xdr:col>
      <xdr:colOff>116252</xdr:colOff>
      <xdr:row>11</xdr:row>
      <xdr:rowOff>58709</xdr:rowOff>
    </xdr:from>
    <xdr:to>
      <xdr:col>25</xdr:col>
      <xdr:colOff>455547</xdr:colOff>
      <xdr:row>13</xdr:row>
      <xdr:rowOff>49096</xdr:rowOff>
    </xdr:to>
    <xdr:sp macro="" textlink="TER">
      <xdr:nvSpPr>
        <xdr:cNvPr id="99" name="TextBox 98">
          <a:extLst>
            <a:ext uri="{FF2B5EF4-FFF2-40B4-BE49-F238E27FC236}">
              <a16:creationId xmlns:a16="http://schemas.microsoft.com/office/drawing/2014/main" id="{72F24616-DAEC-4306-6153-A1AB8DD91FC5}"/>
            </a:ext>
          </a:extLst>
        </xdr:cNvPr>
        <xdr:cNvSpPr txBox="1"/>
      </xdr:nvSpPr>
      <xdr:spPr>
        <a:xfrm>
          <a:off x="14689502" y="2154209"/>
          <a:ext cx="946514" cy="37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C80C87E-08A4-48A4-93BF-9D938651E062}" type="TxLink">
            <a:rPr lang="en-US" sz="1800" b="1" i="0" u="none" strike="noStrike">
              <a:solidFill>
                <a:srgbClr val="000000"/>
              </a:solidFill>
              <a:latin typeface="Aptos Narrow"/>
            </a:rPr>
            <a:pPr algn="l"/>
            <a:t>34.50%</a:t>
          </a:fld>
          <a:endParaRPr lang="en-US" sz="2000" b="1" i="0">
            <a:solidFill>
              <a:schemeClr val="bg2">
                <a:lumMod val="25000"/>
              </a:schemeClr>
            </a:solidFill>
          </a:endParaRPr>
        </a:p>
      </xdr:txBody>
    </xdr:sp>
    <xdr:clientData/>
  </xdr:twoCellAnchor>
  <xdr:twoCellAnchor>
    <xdr:from>
      <xdr:col>6</xdr:col>
      <xdr:colOff>265337</xdr:colOff>
      <xdr:row>14</xdr:row>
      <xdr:rowOff>190274</xdr:rowOff>
    </xdr:from>
    <xdr:to>
      <xdr:col>11</xdr:col>
      <xdr:colOff>285750</xdr:colOff>
      <xdr:row>16</xdr:row>
      <xdr:rowOff>47626</xdr:rowOff>
    </xdr:to>
    <xdr:sp macro="" textlink="">
      <xdr:nvSpPr>
        <xdr:cNvPr id="100" name="TextBox 99">
          <a:extLst>
            <a:ext uri="{FF2B5EF4-FFF2-40B4-BE49-F238E27FC236}">
              <a16:creationId xmlns:a16="http://schemas.microsoft.com/office/drawing/2014/main" id="{6FB33CD6-F589-549C-8356-9F06DAE42740}"/>
            </a:ext>
          </a:extLst>
        </xdr:cNvPr>
        <xdr:cNvSpPr txBox="1"/>
      </xdr:nvSpPr>
      <xdr:spPr>
        <a:xfrm>
          <a:off x="3922937" y="2857274"/>
          <a:ext cx="3068413" cy="23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Where are We</a:t>
          </a:r>
          <a:r>
            <a:rPr lang="en-US" sz="1100" b="1" i="0" baseline="0">
              <a:solidFill>
                <a:schemeClr val="tx1">
                  <a:lumMod val="85000"/>
                  <a:lumOff val="15000"/>
                </a:schemeClr>
              </a:solidFill>
            </a:rPr>
            <a:t> Missing Targets?</a:t>
          </a:r>
          <a:endParaRPr lang="en-US" sz="1100" b="1" i="0">
            <a:solidFill>
              <a:schemeClr val="tx1">
                <a:lumMod val="85000"/>
                <a:lumOff val="15000"/>
              </a:schemeClr>
            </a:solidFill>
          </a:endParaRPr>
        </a:p>
      </xdr:txBody>
    </xdr:sp>
    <xdr:clientData/>
  </xdr:twoCellAnchor>
  <xdr:twoCellAnchor>
    <xdr:from>
      <xdr:col>6</xdr:col>
      <xdr:colOff>265337</xdr:colOff>
      <xdr:row>16</xdr:row>
      <xdr:rowOff>11682</xdr:rowOff>
    </xdr:from>
    <xdr:to>
      <xdr:col>9</xdr:col>
      <xdr:colOff>261937</xdr:colOff>
      <xdr:row>17</xdr:row>
      <xdr:rowOff>50009</xdr:rowOff>
    </xdr:to>
    <xdr:sp macro="" textlink="">
      <xdr:nvSpPr>
        <xdr:cNvPr id="101" name="TextBox 100">
          <a:extLst>
            <a:ext uri="{FF2B5EF4-FFF2-40B4-BE49-F238E27FC236}">
              <a16:creationId xmlns:a16="http://schemas.microsoft.com/office/drawing/2014/main" id="{3C840048-F772-5798-F670-F80973BD63E5}"/>
            </a:ext>
          </a:extLst>
        </xdr:cNvPr>
        <xdr:cNvSpPr txBox="1"/>
      </xdr:nvSpPr>
      <xdr:spPr>
        <a:xfrm>
          <a:off x="3922937" y="3059682"/>
          <a:ext cx="1825400"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Target Group By State</a:t>
          </a:r>
        </a:p>
      </xdr:txBody>
    </xdr:sp>
    <xdr:clientData/>
  </xdr:twoCellAnchor>
  <xdr:twoCellAnchor>
    <xdr:from>
      <xdr:col>6</xdr:col>
      <xdr:colOff>180975</xdr:colOff>
      <xdr:row>17</xdr:row>
      <xdr:rowOff>50006</xdr:rowOff>
    </xdr:from>
    <xdr:to>
      <xdr:col>12</xdr:col>
      <xdr:colOff>154781</xdr:colOff>
      <xdr:row>28</xdr:row>
      <xdr:rowOff>38100</xdr:rowOff>
    </xdr:to>
    <xdr:graphicFrame macro="">
      <xdr:nvGraphicFramePr>
        <xdr:cNvPr id="102" name="Chart 101">
          <a:extLst>
            <a:ext uri="{FF2B5EF4-FFF2-40B4-BE49-F238E27FC236}">
              <a16:creationId xmlns:a16="http://schemas.microsoft.com/office/drawing/2014/main" id="{D542F671-08B9-4BC9-8E36-573CEF86A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6</xdr:col>
      <xdr:colOff>219075</xdr:colOff>
      <xdr:row>28</xdr:row>
      <xdr:rowOff>178329</xdr:rowOff>
    </xdr:from>
    <xdr:to>
      <xdr:col>6</xdr:col>
      <xdr:colOff>437116</xdr:colOff>
      <xdr:row>30</xdr:row>
      <xdr:rowOff>13329</xdr:rowOff>
    </xdr:to>
    <xdr:pic>
      <xdr:nvPicPr>
        <xdr:cNvPr id="104" name="Graphic 103" descr="Lightbulb and gear with solid fill">
          <a:extLst>
            <a:ext uri="{FF2B5EF4-FFF2-40B4-BE49-F238E27FC236}">
              <a16:creationId xmlns:a16="http://schemas.microsoft.com/office/drawing/2014/main" id="{3A48C820-3406-8444-7AE5-714B4C7C6595}"/>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3896553" y="5512329"/>
          <a:ext cx="218041" cy="216000"/>
        </a:xfrm>
        <a:prstGeom prst="rect">
          <a:avLst/>
        </a:prstGeom>
      </xdr:spPr>
    </xdr:pic>
    <xdr:clientData/>
  </xdr:twoCellAnchor>
  <xdr:twoCellAnchor>
    <xdr:from>
      <xdr:col>6</xdr:col>
      <xdr:colOff>398686</xdr:colOff>
      <xdr:row>28</xdr:row>
      <xdr:rowOff>146091</xdr:rowOff>
    </xdr:from>
    <xdr:to>
      <xdr:col>12</xdr:col>
      <xdr:colOff>200025</xdr:colOff>
      <xdr:row>31</xdr:row>
      <xdr:rowOff>20109</xdr:rowOff>
    </xdr:to>
    <xdr:sp macro="" textlink="">
      <xdr:nvSpPr>
        <xdr:cNvPr id="105" name="TextBox 104">
          <a:extLst>
            <a:ext uri="{FF2B5EF4-FFF2-40B4-BE49-F238E27FC236}">
              <a16:creationId xmlns:a16="http://schemas.microsoft.com/office/drawing/2014/main" id="{B2EF855D-A7EB-BD3F-566E-5D860698F88C}"/>
            </a:ext>
          </a:extLst>
        </xdr:cNvPr>
        <xdr:cNvSpPr txBox="1"/>
      </xdr:nvSpPr>
      <xdr:spPr>
        <a:xfrm>
          <a:off x="4041999" y="5480091"/>
          <a:ext cx="3444651"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The performance gap is concentrated in four states, with Ogun and Lagos requiring the closest attention due to their larger shortfalls.</a:t>
          </a:r>
          <a:endParaRPr lang="en-US" sz="1000" b="0" i="0">
            <a:solidFill>
              <a:schemeClr val="tx1"/>
            </a:solidFill>
          </a:endParaRPr>
        </a:p>
      </xdr:txBody>
    </xdr:sp>
    <xdr:clientData/>
  </xdr:twoCellAnchor>
  <xdr:twoCellAnchor>
    <xdr:from>
      <xdr:col>12</xdr:col>
      <xdr:colOff>370112</xdr:colOff>
      <xdr:row>15</xdr:row>
      <xdr:rowOff>9299</xdr:rowOff>
    </xdr:from>
    <xdr:to>
      <xdr:col>19</xdr:col>
      <xdr:colOff>161925</xdr:colOff>
      <xdr:row>16</xdr:row>
      <xdr:rowOff>57151</xdr:rowOff>
    </xdr:to>
    <xdr:sp macro="" textlink="">
      <xdr:nvSpPr>
        <xdr:cNvPr id="106" name="TextBox 105">
          <a:extLst>
            <a:ext uri="{FF2B5EF4-FFF2-40B4-BE49-F238E27FC236}">
              <a16:creationId xmlns:a16="http://schemas.microsoft.com/office/drawing/2014/main" id="{A9412A60-41C2-072C-C58F-9DED9C3A1185}"/>
            </a:ext>
          </a:extLst>
        </xdr:cNvPr>
        <xdr:cNvSpPr txBox="1"/>
      </xdr:nvSpPr>
      <xdr:spPr>
        <a:xfrm>
          <a:off x="7685312" y="2866799"/>
          <a:ext cx="4059013" cy="23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Are Beneficiaries Gaining Clean-Energy Access?</a:t>
          </a:r>
        </a:p>
      </xdr:txBody>
    </xdr:sp>
    <xdr:clientData/>
  </xdr:twoCellAnchor>
  <xdr:twoCellAnchor>
    <xdr:from>
      <xdr:col>12</xdr:col>
      <xdr:colOff>389162</xdr:colOff>
      <xdr:row>16</xdr:row>
      <xdr:rowOff>11682</xdr:rowOff>
    </xdr:from>
    <xdr:to>
      <xdr:col>17</xdr:col>
      <xdr:colOff>371475</xdr:colOff>
      <xdr:row>17</xdr:row>
      <xdr:rowOff>50009</xdr:rowOff>
    </xdr:to>
    <xdr:sp macro="" textlink="">
      <xdr:nvSpPr>
        <xdr:cNvPr id="107" name="TextBox 106">
          <a:extLst>
            <a:ext uri="{FF2B5EF4-FFF2-40B4-BE49-F238E27FC236}">
              <a16:creationId xmlns:a16="http://schemas.microsoft.com/office/drawing/2014/main" id="{47D127CB-36FE-C9F3-286E-51F0CE858641}"/>
            </a:ext>
          </a:extLst>
        </xdr:cNvPr>
        <xdr:cNvSpPr txBox="1"/>
      </xdr:nvSpPr>
      <xdr:spPr>
        <a:xfrm>
          <a:off x="7704362" y="3059682"/>
          <a:ext cx="3030313"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Beneficiaries Vs. People Gaining Clean Energy Access</a:t>
          </a:r>
        </a:p>
      </xdr:txBody>
    </xdr:sp>
    <xdr:clientData/>
  </xdr:twoCellAnchor>
  <xdr:twoCellAnchor>
    <xdr:from>
      <xdr:col>12</xdr:col>
      <xdr:colOff>532036</xdr:colOff>
      <xdr:row>28</xdr:row>
      <xdr:rowOff>146091</xdr:rowOff>
    </xdr:from>
    <xdr:to>
      <xdr:col>19</xdr:col>
      <xdr:colOff>505239</xdr:colOff>
      <xdr:row>31</xdr:row>
      <xdr:rowOff>20109</xdr:rowOff>
    </xdr:to>
    <xdr:sp macro="" textlink="">
      <xdr:nvSpPr>
        <xdr:cNvPr id="110" name="TextBox 109">
          <a:extLst>
            <a:ext uri="{FF2B5EF4-FFF2-40B4-BE49-F238E27FC236}">
              <a16:creationId xmlns:a16="http://schemas.microsoft.com/office/drawing/2014/main" id="{0DD621D2-4646-F00A-1795-6AAC0EE431E5}"/>
            </a:ext>
          </a:extLst>
        </xdr:cNvPr>
        <xdr:cNvSpPr txBox="1"/>
      </xdr:nvSpPr>
      <xdr:spPr>
        <a:xfrm>
          <a:off x="7818661" y="5480091"/>
          <a:ext cx="4223734"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Clean-energy interventions are reaching beneficiaries, but access gaps remain across all six states, highlighting last-mile delivery challenges.</a:t>
          </a:r>
          <a:endParaRPr lang="en-US" sz="1000" b="0" i="0">
            <a:solidFill>
              <a:schemeClr val="tx1"/>
            </a:solidFill>
          </a:endParaRPr>
        </a:p>
      </xdr:txBody>
    </xdr:sp>
    <xdr:clientData/>
  </xdr:twoCellAnchor>
  <xdr:twoCellAnchor>
    <xdr:from>
      <xdr:col>13</xdr:col>
      <xdr:colOff>333371</xdr:colOff>
      <xdr:row>27</xdr:row>
      <xdr:rowOff>156195</xdr:rowOff>
    </xdr:from>
    <xdr:to>
      <xdr:col>13</xdr:col>
      <xdr:colOff>405371</xdr:colOff>
      <xdr:row>28</xdr:row>
      <xdr:rowOff>44895</xdr:rowOff>
    </xdr:to>
    <xdr:sp macro="" textlink="">
      <xdr:nvSpPr>
        <xdr:cNvPr id="111" name="Oval 110">
          <a:extLst>
            <a:ext uri="{FF2B5EF4-FFF2-40B4-BE49-F238E27FC236}">
              <a16:creationId xmlns:a16="http://schemas.microsoft.com/office/drawing/2014/main" id="{5837096E-6978-193D-F96E-8799403B76DD}"/>
            </a:ext>
          </a:extLst>
        </xdr:cNvPr>
        <xdr:cNvSpPr/>
      </xdr:nvSpPr>
      <xdr:spPr>
        <a:xfrm flipV="1">
          <a:off x="8258171" y="5299695"/>
          <a:ext cx="72000" cy="79200"/>
        </a:xfrm>
        <a:prstGeom prst="ellipse">
          <a:avLst/>
        </a:prstGeom>
        <a:solidFill>
          <a:srgbClr val="1054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361536</xdr:colOff>
      <xdr:row>27</xdr:row>
      <xdr:rowOff>159507</xdr:rowOff>
    </xdr:from>
    <xdr:to>
      <xdr:col>15</xdr:col>
      <xdr:colOff>433536</xdr:colOff>
      <xdr:row>28</xdr:row>
      <xdr:rowOff>48207</xdr:rowOff>
    </xdr:to>
    <xdr:sp macro="" textlink="">
      <xdr:nvSpPr>
        <xdr:cNvPr id="112" name="Oval 111">
          <a:extLst>
            <a:ext uri="{FF2B5EF4-FFF2-40B4-BE49-F238E27FC236}">
              <a16:creationId xmlns:a16="http://schemas.microsoft.com/office/drawing/2014/main" id="{1EC7F2FF-2898-DF80-6E11-4A0835FAA691}"/>
            </a:ext>
          </a:extLst>
        </xdr:cNvPr>
        <xdr:cNvSpPr/>
      </xdr:nvSpPr>
      <xdr:spPr>
        <a:xfrm flipV="1">
          <a:off x="9505536" y="5303007"/>
          <a:ext cx="72000" cy="79200"/>
        </a:xfrm>
        <a:prstGeom prst="ellipse">
          <a:avLst/>
        </a:prstGeom>
        <a:solidFill>
          <a:srgbClr val="BA8E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273326</xdr:colOff>
      <xdr:row>17</xdr:row>
      <xdr:rowOff>52595</xdr:rowOff>
    </xdr:from>
    <xdr:to>
      <xdr:col>19</xdr:col>
      <xdr:colOff>438977</xdr:colOff>
      <xdr:row>27</xdr:row>
      <xdr:rowOff>85725</xdr:rowOff>
    </xdr:to>
    <xdr:graphicFrame macro="">
      <xdr:nvGraphicFramePr>
        <xdr:cNvPr id="113" name="Chart 112">
          <a:extLst>
            <a:ext uri="{FF2B5EF4-FFF2-40B4-BE49-F238E27FC236}">
              <a16:creationId xmlns:a16="http://schemas.microsoft.com/office/drawing/2014/main" id="{DB23DA5C-CDE9-46AC-AC72-71E13592F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13</xdr:col>
      <xdr:colOff>400790</xdr:colOff>
      <xdr:row>27</xdr:row>
      <xdr:rowOff>80244</xdr:rowOff>
    </xdr:from>
    <xdr:to>
      <xdr:col>14</xdr:col>
      <xdr:colOff>574725</xdr:colOff>
      <xdr:row>28</xdr:row>
      <xdr:rowOff>118571</xdr:rowOff>
    </xdr:to>
    <xdr:sp macro="" textlink="">
      <xdr:nvSpPr>
        <xdr:cNvPr id="114" name="TextBox 113">
          <a:extLst>
            <a:ext uri="{FF2B5EF4-FFF2-40B4-BE49-F238E27FC236}">
              <a16:creationId xmlns:a16="http://schemas.microsoft.com/office/drawing/2014/main" id="{B4006223-DB46-5992-95BA-F45034EECFD5}"/>
            </a:ext>
          </a:extLst>
        </xdr:cNvPr>
        <xdr:cNvSpPr txBox="1"/>
      </xdr:nvSpPr>
      <xdr:spPr>
        <a:xfrm>
          <a:off x="8325590" y="5223744"/>
          <a:ext cx="783535"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tx1">
                  <a:lumMod val="85000"/>
                  <a:lumOff val="15000"/>
                </a:schemeClr>
              </a:solidFill>
            </a:rPr>
            <a:t>Beneficiaries</a:t>
          </a:r>
        </a:p>
      </xdr:txBody>
    </xdr:sp>
    <xdr:clientData/>
  </xdr:twoCellAnchor>
  <xdr:twoCellAnchor>
    <xdr:from>
      <xdr:col>15</xdr:col>
      <xdr:colOff>405846</xdr:colOff>
      <xdr:row>27</xdr:row>
      <xdr:rowOff>69661</xdr:rowOff>
    </xdr:from>
    <xdr:to>
      <xdr:col>18</xdr:col>
      <xdr:colOff>430692</xdr:colOff>
      <xdr:row>28</xdr:row>
      <xdr:rowOff>107988</xdr:rowOff>
    </xdr:to>
    <xdr:sp macro="" textlink="">
      <xdr:nvSpPr>
        <xdr:cNvPr id="115" name="TextBox 114">
          <a:extLst>
            <a:ext uri="{FF2B5EF4-FFF2-40B4-BE49-F238E27FC236}">
              <a16:creationId xmlns:a16="http://schemas.microsoft.com/office/drawing/2014/main" id="{27716469-08EB-9A87-1773-A12437FB4254}"/>
            </a:ext>
          </a:extLst>
        </xdr:cNvPr>
        <xdr:cNvSpPr txBox="1"/>
      </xdr:nvSpPr>
      <xdr:spPr>
        <a:xfrm>
          <a:off x="9549846" y="5213161"/>
          <a:ext cx="1853646"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tx1">
                  <a:lumMod val="85000"/>
                  <a:lumOff val="15000"/>
                </a:schemeClr>
              </a:solidFill>
            </a:rPr>
            <a:t>People Gaining Clean Energy Access</a:t>
          </a:r>
        </a:p>
      </xdr:txBody>
    </xdr:sp>
    <xdr:clientData/>
  </xdr:twoCellAnchor>
  <xdr:twoCellAnchor>
    <xdr:from>
      <xdr:col>19</xdr:col>
      <xdr:colOff>602946</xdr:colOff>
      <xdr:row>15</xdr:row>
      <xdr:rowOff>19882</xdr:rowOff>
    </xdr:from>
    <xdr:to>
      <xdr:col>24</xdr:col>
      <xdr:colOff>542925</xdr:colOff>
      <xdr:row>16</xdr:row>
      <xdr:rowOff>67734</xdr:rowOff>
    </xdr:to>
    <xdr:sp macro="" textlink="">
      <xdr:nvSpPr>
        <xdr:cNvPr id="116" name="TextBox 115">
          <a:extLst>
            <a:ext uri="{FF2B5EF4-FFF2-40B4-BE49-F238E27FC236}">
              <a16:creationId xmlns:a16="http://schemas.microsoft.com/office/drawing/2014/main" id="{1CA6CB94-2ED2-FCE3-F855-A23CAF5CDF96}"/>
            </a:ext>
          </a:extLst>
        </xdr:cNvPr>
        <xdr:cNvSpPr txBox="1"/>
      </xdr:nvSpPr>
      <xdr:spPr>
        <a:xfrm>
          <a:off x="12185346" y="2877382"/>
          <a:ext cx="2987979" cy="23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Does Reliability Relate to Satisfaction?</a:t>
          </a:r>
        </a:p>
      </xdr:txBody>
    </xdr:sp>
    <xdr:clientData/>
  </xdr:twoCellAnchor>
  <xdr:twoCellAnchor>
    <xdr:from>
      <xdr:col>20</xdr:col>
      <xdr:colOff>8161</xdr:colOff>
      <xdr:row>16</xdr:row>
      <xdr:rowOff>22265</xdr:rowOff>
    </xdr:from>
    <xdr:to>
      <xdr:col>24</xdr:col>
      <xdr:colOff>604308</xdr:colOff>
      <xdr:row>17</xdr:row>
      <xdr:rowOff>60592</xdr:rowOff>
    </xdr:to>
    <xdr:sp macro="" textlink="">
      <xdr:nvSpPr>
        <xdr:cNvPr id="117" name="TextBox 116">
          <a:extLst>
            <a:ext uri="{FF2B5EF4-FFF2-40B4-BE49-F238E27FC236}">
              <a16:creationId xmlns:a16="http://schemas.microsoft.com/office/drawing/2014/main" id="{400826C2-4A1B-CDF8-A268-454EB545682F}"/>
            </a:ext>
          </a:extLst>
        </xdr:cNvPr>
        <xdr:cNvSpPr txBox="1"/>
      </xdr:nvSpPr>
      <xdr:spPr>
        <a:xfrm>
          <a:off x="12200161" y="3070265"/>
          <a:ext cx="3034547"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System Uptime Vs. Community Satisfaction</a:t>
          </a:r>
        </a:p>
      </xdr:txBody>
    </xdr:sp>
    <xdr:clientData/>
  </xdr:twoCellAnchor>
  <xdr:twoCellAnchor>
    <xdr:from>
      <xdr:col>20</xdr:col>
      <xdr:colOff>10583</xdr:colOff>
      <xdr:row>17</xdr:row>
      <xdr:rowOff>43393</xdr:rowOff>
    </xdr:from>
    <xdr:to>
      <xdr:col>26</xdr:col>
      <xdr:colOff>296333</xdr:colOff>
      <xdr:row>28</xdr:row>
      <xdr:rowOff>123827</xdr:rowOff>
    </xdr:to>
    <xdr:graphicFrame macro="">
      <xdr:nvGraphicFramePr>
        <xdr:cNvPr id="118" name="Chart 117">
          <a:extLst>
            <a:ext uri="{FF2B5EF4-FFF2-40B4-BE49-F238E27FC236}">
              <a16:creationId xmlns:a16="http://schemas.microsoft.com/office/drawing/2014/main" id="{F4E52CDC-9373-43B2-B8C4-AE5592819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12</xdr:col>
      <xdr:colOff>367241</xdr:colOff>
      <xdr:row>28</xdr:row>
      <xdr:rowOff>178329</xdr:rowOff>
    </xdr:from>
    <xdr:to>
      <xdr:col>12</xdr:col>
      <xdr:colOff>585282</xdr:colOff>
      <xdr:row>30</xdr:row>
      <xdr:rowOff>13329</xdr:rowOff>
    </xdr:to>
    <xdr:pic>
      <xdr:nvPicPr>
        <xdr:cNvPr id="119" name="Graphic 118" descr="Lightbulb and gear with solid fill">
          <a:extLst>
            <a:ext uri="{FF2B5EF4-FFF2-40B4-BE49-F238E27FC236}">
              <a16:creationId xmlns:a16="http://schemas.microsoft.com/office/drawing/2014/main" id="{92B0483A-1949-283B-0592-9DA48948FF94}"/>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7722198" y="5512329"/>
          <a:ext cx="218041" cy="216000"/>
        </a:xfrm>
        <a:prstGeom prst="rect">
          <a:avLst/>
        </a:prstGeom>
      </xdr:spPr>
    </xdr:pic>
    <xdr:clientData/>
  </xdr:twoCellAnchor>
  <xdr:twoCellAnchor>
    <xdr:from>
      <xdr:col>20</xdr:col>
      <xdr:colOff>140453</xdr:colOff>
      <xdr:row>28</xdr:row>
      <xdr:rowOff>146091</xdr:rowOff>
    </xdr:from>
    <xdr:to>
      <xdr:col>26</xdr:col>
      <xdr:colOff>306916</xdr:colOff>
      <xdr:row>31</xdr:row>
      <xdr:rowOff>20109</xdr:rowOff>
    </xdr:to>
    <xdr:sp macro="" textlink="">
      <xdr:nvSpPr>
        <xdr:cNvPr id="120" name="TextBox 119">
          <a:extLst>
            <a:ext uri="{FF2B5EF4-FFF2-40B4-BE49-F238E27FC236}">
              <a16:creationId xmlns:a16="http://schemas.microsoft.com/office/drawing/2014/main" id="{5036D919-1488-C7F8-D706-E01AA84407C0}"/>
            </a:ext>
          </a:extLst>
        </xdr:cNvPr>
        <xdr:cNvSpPr txBox="1"/>
      </xdr:nvSpPr>
      <xdr:spPr>
        <a:xfrm>
          <a:off x="12284828" y="5480091"/>
          <a:ext cx="3809776"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Reliability appears to support community satisfaction, but reliability alone does not fully explain satisfaction levels.</a:t>
          </a:r>
          <a:endParaRPr lang="en-US" sz="1000" b="0" i="0">
            <a:solidFill>
              <a:schemeClr val="tx1"/>
            </a:solidFill>
          </a:endParaRPr>
        </a:p>
      </xdr:txBody>
    </xdr:sp>
    <xdr:clientData/>
  </xdr:twoCellAnchor>
  <xdr:twoCellAnchor editAs="oneCell">
    <xdr:from>
      <xdr:col>19</xdr:col>
      <xdr:colOff>589492</xdr:colOff>
      <xdr:row>28</xdr:row>
      <xdr:rowOff>178329</xdr:rowOff>
    </xdr:from>
    <xdr:to>
      <xdr:col>20</xdr:col>
      <xdr:colOff>172223</xdr:colOff>
      <xdr:row>30</xdr:row>
      <xdr:rowOff>13329</xdr:rowOff>
    </xdr:to>
    <xdr:pic>
      <xdr:nvPicPr>
        <xdr:cNvPr id="121" name="Graphic 120" descr="Lightbulb and gear with solid fill">
          <a:extLst>
            <a:ext uri="{FF2B5EF4-FFF2-40B4-BE49-F238E27FC236}">
              <a16:creationId xmlns:a16="http://schemas.microsoft.com/office/drawing/2014/main" id="{50780764-47C3-C747-E15C-3758FC87D3E1}"/>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2234840" y="5512329"/>
          <a:ext cx="195644" cy="216000"/>
        </a:xfrm>
        <a:prstGeom prst="rect">
          <a:avLst/>
        </a:prstGeom>
      </xdr:spPr>
    </xdr:pic>
    <xdr:clientData/>
  </xdr:twoCellAnchor>
  <xdr:twoCellAnchor>
    <xdr:from>
      <xdr:col>6</xdr:col>
      <xdr:colOff>158445</xdr:colOff>
      <xdr:row>31</xdr:row>
      <xdr:rowOff>146882</xdr:rowOff>
    </xdr:from>
    <xdr:to>
      <xdr:col>11</xdr:col>
      <xdr:colOff>317500</xdr:colOff>
      <xdr:row>32</xdr:row>
      <xdr:rowOff>159808</xdr:rowOff>
    </xdr:to>
    <xdr:sp macro="" textlink="">
      <xdr:nvSpPr>
        <xdr:cNvPr id="122" name="TextBox 121">
          <a:extLst>
            <a:ext uri="{FF2B5EF4-FFF2-40B4-BE49-F238E27FC236}">
              <a16:creationId xmlns:a16="http://schemas.microsoft.com/office/drawing/2014/main" id="{AED54980-A0F5-6190-FF09-64E3350A3EA1}"/>
            </a:ext>
          </a:extLst>
        </xdr:cNvPr>
        <xdr:cNvSpPr txBox="1"/>
      </xdr:nvSpPr>
      <xdr:spPr>
        <a:xfrm>
          <a:off x="3816045" y="6052382"/>
          <a:ext cx="3207055" cy="20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Is Training</a:t>
          </a:r>
          <a:r>
            <a:rPr lang="en-US" sz="1100" b="1" i="0" baseline="0">
              <a:solidFill>
                <a:schemeClr val="tx1">
                  <a:lumMod val="85000"/>
                  <a:lumOff val="15000"/>
                </a:schemeClr>
              </a:solidFill>
            </a:rPr>
            <a:t> Translating into Jobs?</a:t>
          </a:r>
          <a:endParaRPr lang="en-US" sz="1100" b="1" i="0">
            <a:solidFill>
              <a:schemeClr val="tx1">
                <a:lumMod val="85000"/>
                <a:lumOff val="15000"/>
              </a:schemeClr>
            </a:solidFill>
          </a:endParaRPr>
        </a:p>
      </xdr:txBody>
    </xdr:sp>
    <xdr:clientData/>
  </xdr:twoCellAnchor>
  <xdr:twoCellAnchor>
    <xdr:from>
      <xdr:col>6</xdr:col>
      <xdr:colOff>158974</xdr:colOff>
      <xdr:row>32</xdr:row>
      <xdr:rowOff>138682</xdr:rowOff>
    </xdr:from>
    <xdr:to>
      <xdr:col>11</xdr:col>
      <xdr:colOff>141287</xdr:colOff>
      <xdr:row>33</xdr:row>
      <xdr:rowOff>177009</xdr:rowOff>
    </xdr:to>
    <xdr:sp macro="" textlink="">
      <xdr:nvSpPr>
        <xdr:cNvPr id="123" name="TextBox 122">
          <a:extLst>
            <a:ext uri="{FF2B5EF4-FFF2-40B4-BE49-F238E27FC236}">
              <a16:creationId xmlns:a16="http://schemas.microsoft.com/office/drawing/2014/main" id="{D9DE87C8-BECD-9687-17DB-81160C012F51}"/>
            </a:ext>
          </a:extLst>
        </xdr:cNvPr>
        <xdr:cNvSpPr txBox="1"/>
      </xdr:nvSpPr>
      <xdr:spPr>
        <a:xfrm>
          <a:off x="3802287" y="6234682"/>
          <a:ext cx="3018406"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People Trained Vs. Local Jobs Created</a:t>
          </a:r>
        </a:p>
      </xdr:txBody>
    </xdr:sp>
    <xdr:clientData/>
  </xdr:twoCellAnchor>
  <xdr:twoCellAnchor>
    <xdr:from>
      <xdr:col>6</xdr:col>
      <xdr:colOff>179917</xdr:colOff>
      <xdr:row>34</xdr:row>
      <xdr:rowOff>22225</xdr:rowOff>
    </xdr:from>
    <xdr:to>
      <xdr:col>12</xdr:col>
      <xdr:colOff>179916</xdr:colOff>
      <xdr:row>45</xdr:row>
      <xdr:rowOff>149225</xdr:rowOff>
    </xdr:to>
    <xdr:graphicFrame macro="">
      <xdr:nvGraphicFramePr>
        <xdr:cNvPr id="124" name="Chart 123">
          <a:extLst>
            <a:ext uri="{FF2B5EF4-FFF2-40B4-BE49-F238E27FC236}">
              <a16:creationId xmlns:a16="http://schemas.microsoft.com/office/drawing/2014/main" id="{78E870A1-7136-489E-9E02-BB18751DB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editAs="oneCell">
    <xdr:from>
      <xdr:col>6</xdr:col>
      <xdr:colOff>166158</xdr:colOff>
      <xdr:row>45</xdr:row>
      <xdr:rowOff>178329</xdr:rowOff>
    </xdr:from>
    <xdr:to>
      <xdr:col>6</xdr:col>
      <xdr:colOff>384199</xdr:colOff>
      <xdr:row>47</xdr:row>
      <xdr:rowOff>13329</xdr:rowOff>
    </xdr:to>
    <xdr:pic>
      <xdr:nvPicPr>
        <xdr:cNvPr id="125" name="Graphic 124" descr="Lightbulb and gear with solid fill">
          <a:extLst>
            <a:ext uri="{FF2B5EF4-FFF2-40B4-BE49-F238E27FC236}">
              <a16:creationId xmlns:a16="http://schemas.microsoft.com/office/drawing/2014/main" id="{00E49386-DC90-65E6-756B-397C118676CA}"/>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3809471" y="8750829"/>
          <a:ext cx="218041" cy="216000"/>
        </a:xfrm>
        <a:prstGeom prst="rect">
          <a:avLst/>
        </a:prstGeom>
      </xdr:spPr>
    </xdr:pic>
    <xdr:clientData/>
  </xdr:twoCellAnchor>
  <xdr:twoCellAnchor>
    <xdr:from>
      <xdr:col>6</xdr:col>
      <xdr:colOff>345769</xdr:colOff>
      <xdr:row>45</xdr:row>
      <xdr:rowOff>146091</xdr:rowOff>
    </xdr:from>
    <xdr:to>
      <xdr:col>12</xdr:col>
      <xdr:colOff>147108</xdr:colOff>
      <xdr:row>48</xdr:row>
      <xdr:rowOff>20109</xdr:rowOff>
    </xdr:to>
    <xdr:sp macro="" textlink="">
      <xdr:nvSpPr>
        <xdr:cNvPr id="126" name="TextBox 125">
          <a:extLst>
            <a:ext uri="{FF2B5EF4-FFF2-40B4-BE49-F238E27FC236}">
              <a16:creationId xmlns:a16="http://schemas.microsoft.com/office/drawing/2014/main" id="{E7CAD556-0EB7-AB90-59C4-7CB3F3B33FD1}"/>
            </a:ext>
          </a:extLst>
        </xdr:cNvPr>
        <xdr:cNvSpPr txBox="1"/>
      </xdr:nvSpPr>
      <xdr:spPr>
        <a:xfrm>
          <a:off x="3989082" y="8718591"/>
          <a:ext cx="3444651"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Training is creating local jobs, but the number of jobs created varies widely across interventions</a:t>
          </a:r>
          <a:r>
            <a:rPr lang="en-US" sz="1000" b="0" i="0">
              <a:solidFill>
                <a:schemeClr val="tx1"/>
              </a:solidFill>
            </a:rPr>
            <a:t>.</a:t>
          </a:r>
        </a:p>
      </xdr:txBody>
    </xdr:sp>
    <xdr:clientData/>
  </xdr:twoCellAnchor>
  <xdr:twoCellAnchor>
    <xdr:from>
      <xdr:col>12</xdr:col>
      <xdr:colOff>372758</xdr:colOff>
      <xdr:row>31</xdr:row>
      <xdr:rowOff>158788</xdr:rowOff>
    </xdr:from>
    <xdr:to>
      <xdr:col>17</xdr:col>
      <xdr:colOff>531812</xdr:colOff>
      <xdr:row>32</xdr:row>
      <xdr:rowOff>171714</xdr:rowOff>
    </xdr:to>
    <xdr:sp macro="" textlink="">
      <xdr:nvSpPr>
        <xdr:cNvPr id="127" name="TextBox 126">
          <a:extLst>
            <a:ext uri="{FF2B5EF4-FFF2-40B4-BE49-F238E27FC236}">
              <a16:creationId xmlns:a16="http://schemas.microsoft.com/office/drawing/2014/main" id="{F3CE424F-2E4B-932F-1F4D-56069B78DBC1}"/>
            </a:ext>
          </a:extLst>
        </xdr:cNvPr>
        <xdr:cNvSpPr txBox="1"/>
      </xdr:nvSpPr>
      <xdr:spPr>
        <a:xfrm>
          <a:off x="7687958" y="6064288"/>
          <a:ext cx="3207054" cy="20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Which Interventions are Performing</a:t>
          </a:r>
          <a:r>
            <a:rPr lang="en-US" sz="1100" b="1" i="0" baseline="0">
              <a:solidFill>
                <a:schemeClr val="tx1">
                  <a:lumMod val="85000"/>
                  <a:lumOff val="15000"/>
                </a:schemeClr>
              </a:solidFill>
            </a:rPr>
            <a:t> Well?</a:t>
          </a:r>
          <a:endParaRPr lang="en-US" sz="1100" b="1" i="0">
            <a:solidFill>
              <a:schemeClr val="tx1">
                <a:lumMod val="85000"/>
                <a:lumOff val="15000"/>
              </a:schemeClr>
            </a:solidFill>
          </a:endParaRPr>
        </a:p>
      </xdr:txBody>
    </xdr:sp>
    <xdr:clientData/>
  </xdr:twoCellAnchor>
  <xdr:twoCellAnchor>
    <xdr:from>
      <xdr:col>12</xdr:col>
      <xdr:colOff>397100</xdr:colOff>
      <xdr:row>32</xdr:row>
      <xdr:rowOff>162494</xdr:rowOff>
    </xdr:from>
    <xdr:to>
      <xdr:col>17</xdr:col>
      <xdr:colOff>379412</xdr:colOff>
      <xdr:row>34</xdr:row>
      <xdr:rowOff>10321</xdr:rowOff>
    </xdr:to>
    <xdr:sp macro="" textlink="">
      <xdr:nvSpPr>
        <xdr:cNvPr id="128" name="TextBox 127">
          <a:extLst>
            <a:ext uri="{FF2B5EF4-FFF2-40B4-BE49-F238E27FC236}">
              <a16:creationId xmlns:a16="http://schemas.microsoft.com/office/drawing/2014/main" id="{9296FD12-B282-A29E-FDA6-9ADCC6BD5DFD}"/>
            </a:ext>
          </a:extLst>
        </xdr:cNvPr>
        <xdr:cNvSpPr txBox="1"/>
      </xdr:nvSpPr>
      <xdr:spPr>
        <a:xfrm>
          <a:off x="7712300" y="6258494"/>
          <a:ext cx="3030312"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Performance Status By Intervention</a:t>
          </a:r>
        </a:p>
      </xdr:txBody>
    </xdr:sp>
    <xdr:clientData/>
  </xdr:twoCellAnchor>
  <xdr:twoCellAnchor>
    <xdr:from>
      <xdr:col>12</xdr:col>
      <xdr:colOff>297657</xdr:colOff>
      <xdr:row>33</xdr:row>
      <xdr:rowOff>169068</xdr:rowOff>
    </xdr:from>
    <xdr:to>
      <xdr:col>19</xdr:col>
      <xdr:colOff>369094</xdr:colOff>
      <xdr:row>46</xdr:row>
      <xdr:rowOff>14287</xdr:rowOff>
    </xdr:to>
    <xdr:graphicFrame macro="">
      <xdr:nvGraphicFramePr>
        <xdr:cNvPr id="129" name="Chart 128">
          <a:extLst>
            <a:ext uri="{FF2B5EF4-FFF2-40B4-BE49-F238E27FC236}">
              <a16:creationId xmlns:a16="http://schemas.microsoft.com/office/drawing/2014/main" id="{3F547CDA-E201-4171-AE53-AD2F48E81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12</xdr:col>
      <xdr:colOff>484411</xdr:colOff>
      <xdr:row>45</xdr:row>
      <xdr:rowOff>146091</xdr:rowOff>
    </xdr:from>
    <xdr:to>
      <xdr:col>19</xdr:col>
      <xdr:colOff>457614</xdr:colOff>
      <xdr:row>48</xdr:row>
      <xdr:rowOff>20109</xdr:rowOff>
    </xdr:to>
    <xdr:sp macro="" textlink="">
      <xdr:nvSpPr>
        <xdr:cNvPr id="130" name="TextBox 129">
          <a:extLst>
            <a:ext uri="{FF2B5EF4-FFF2-40B4-BE49-F238E27FC236}">
              <a16:creationId xmlns:a16="http://schemas.microsoft.com/office/drawing/2014/main" id="{1DE71DB9-277A-D6CB-BFE3-025690D7F4BF}"/>
            </a:ext>
          </a:extLst>
        </xdr:cNvPr>
        <xdr:cNvSpPr txBox="1"/>
      </xdr:nvSpPr>
      <xdr:spPr>
        <a:xfrm>
          <a:off x="7771036" y="8718591"/>
          <a:ext cx="4223734"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Energy-focused interventions are currently showing the strongest overall performance.</a:t>
          </a:r>
        </a:p>
        <a:p>
          <a:endParaRPr lang="en-US" sz="1000" b="0" i="0">
            <a:solidFill>
              <a:schemeClr val="tx1"/>
            </a:solidFill>
          </a:endParaRPr>
        </a:p>
      </xdr:txBody>
    </xdr:sp>
    <xdr:clientData/>
  </xdr:twoCellAnchor>
  <xdr:twoCellAnchor editAs="oneCell">
    <xdr:from>
      <xdr:col>12</xdr:col>
      <xdr:colOff>319616</xdr:colOff>
      <xdr:row>45</xdr:row>
      <xdr:rowOff>178329</xdr:rowOff>
    </xdr:from>
    <xdr:to>
      <xdr:col>12</xdr:col>
      <xdr:colOff>537657</xdr:colOff>
      <xdr:row>47</xdr:row>
      <xdr:rowOff>13329</xdr:rowOff>
    </xdr:to>
    <xdr:pic>
      <xdr:nvPicPr>
        <xdr:cNvPr id="131" name="Graphic 130" descr="Lightbulb and gear with solid fill">
          <a:extLst>
            <a:ext uri="{FF2B5EF4-FFF2-40B4-BE49-F238E27FC236}">
              <a16:creationId xmlns:a16="http://schemas.microsoft.com/office/drawing/2014/main" id="{0EAF63A8-764E-B729-EDA9-AD7B4E509CA1}"/>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7606241" y="8750829"/>
          <a:ext cx="218041" cy="216000"/>
        </a:xfrm>
        <a:prstGeom prst="rect">
          <a:avLst/>
        </a:prstGeom>
      </xdr:spPr>
    </xdr:pic>
    <xdr:clientData/>
  </xdr:twoCellAnchor>
  <xdr:twoCellAnchor>
    <xdr:from>
      <xdr:col>20</xdr:col>
      <xdr:colOff>3664</xdr:colOff>
      <xdr:row>32</xdr:row>
      <xdr:rowOff>4006</xdr:rowOff>
    </xdr:from>
    <xdr:to>
      <xdr:col>25</xdr:col>
      <xdr:colOff>162718</xdr:colOff>
      <xdr:row>33</xdr:row>
      <xdr:rowOff>16932</xdr:rowOff>
    </xdr:to>
    <xdr:sp macro="" textlink="">
      <xdr:nvSpPr>
        <xdr:cNvPr id="132" name="TextBox 131">
          <a:extLst>
            <a:ext uri="{FF2B5EF4-FFF2-40B4-BE49-F238E27FC236}">
              <a16:creationId xmlns:a16="http://schemas.microsoft.com/office/drawing/2014/main" id="{4BFE8FDD-27D2-A55C-6F8E-C390D4092D19}"/>
            </a:ext>
          </a:extLst>
        </xdr:cNvPr>
        <xdr:cNvSpPr txBox="1"/>
      </xdr:nvSpPr>
      <xdr:spPr>
        <a:xfrm>
          <a:off x="12195664" y="6100006"/>
          <a:ext cx="3207054" cy="20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lumMod val="85000"/>
                  <a:lumOff val="15000"/>
                </a:schemeClr>
              </a:solidFill>
            </a:rPr>
            <a:t>What</a:t>
          </a:r>
          <a:r>
            <a:rPr lang="en-US" sz="1100" b="1" i="0" baseline="0">
              <a:solidFill>
                <a:schemeClr val="tx1">
                  <a:lumMod val="85000"/>
                  <a:lumOff val="15000"/>
                </a:schemeClr>
              </a:solidFill>
            </a:rPr>
            <a:t> Does Strong Community Impact Look Like?</a:t>
          </a:r>
          <a:endParaRPr lang="en-US" sz="1100" b="1" i="0">
            <a:solidFill>
              <a:schemeClr val="tx1">
                <a:lumMod val="85000"/>
                <a:lumOff val="15000"/>
              </a:schemeClr>
            </a:solidFill>
          </a:endParaRPr>
        </a:p>
      </xdr:txBody>
    </xdr:sp>
    <xdr:clientData/>
  </xdr:twoCellAnchor>
  <xdr:twoCellAnchor>
    <xdr:from>
      <xdr:col>20</xdr:col>
      <xdr:colOff>28007</xdr:colOff>
      <xdr:row>33</xdr:row>
      <xdr:rowOff>43432</xdr:rowOff>
    </xdr:from>
    <xdr:to>
      <xdr:col>25</xdr:col>
      <xdr:colOff>10319</xdr:colOff>
      <xdr:row>34</xdr:row>
      <xdr:rowOff>81759</xdr:rowOff>
    </xdr:to>
    <xdr:sp macro="" textlink="">
      <xdr:nvSpPr>
        <xdr:cNvPr id="133" name="TextBox 132">
          <a:extLst>
            <a:ext uri="{FF2B5EF4-FFF2-40B4-BE49-F238E27FC236}">
              <a16:creationId xmlns:a16="http://schemas.microsoft.com/office/drawing/2014/main" id="{542C6E50-77D8-431E-B5E9-4DC9D2699FD7}"/>
            </a:ext>
          </a:extLst>
        </xdr:cNvPr>
        <xdr:cNvSpPr txBox="1"/>
      </xdr:nvSpPr>
      <xdr:spPr>
        <a:xfrm>
          <a:off x="12172382" y="6329932"/>
          <a:ext cx="3018406" cy="22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tx1">
                  <a:lumMod val="85000"/>
                  <a:lumOff val="15000"/>
                </a:schemeClr>
              </a:solidFill>
            </a:rPr>
            <a:t>Key Outcomes By State (Percentage)</a:t>
          </a:r>
        </a:p>
      </xdr:txBody>
    </xdr:sp>
    <xdr:clientData/>
  </xdr:twoCellAnchor>
  <xdr:twoCellAnchor>
    <xdr:from>
      <xdr:col>20</xdr:col>
      <xdr:colOff>1</xdr:colOff>
      <xdr:row>34</xdr:row>
      <xdr:rowOff>96567</xdr:rowOff>
    </xdr:from>
    <xdr:to>
      <xdr:col>26</xdr:col>
      <xdr:colOff>321468</xdr:colOff>
      <xdr:row>45</xdr:row>
      <xdr:rowOff>145256</xdr:rowOff>
    </xdr:to>
    <xdr:graphicFrame macro="">
      <xdr:nvGraphicFramePr>
        <xdr:cNvPr id="134" name="Chart 133">
          <a:extLst>
            <a:ext uri="{FF2B5EF4-FFF2-40B4-BE49-F238E27FC236}">
              <a16:creationId xmlns:a16="http://schemas.microsoft.com/office/drawing/2014/main" id="{AEBAFC80-3576-4D6B-8849-2EE9FC8D0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20</xdr:col>
      <xdr:colOff>140453</xdr:colOff>
      <xdr:row>45</xdr:row>
      <xdr:rowOff>146091</xdr:rowOff>
    </xdr:from>
    <xdr:to>
      <xdr:col>26</xdr:col>
      <xdr:colOff>306916</xdr:colOff>
      <xdr:row>48</xdr:row>
      <xdr:rowOff>20109</xdr:rowOff>
    </xdr:to>
    <xdr:sp macro="" textlink="">
      <xdr:nvSpPr>
        <xdr:cNvPr id="135" name="TextBox 134">
          <a:extLst>
            <a:ext uri="{FF2B5EF4-FFF2-40B4-BE49-F238E27FC236}">
              <a16:creationId xmlns:a16="http://schemas.microsoft.com/office/drawing/2014/main" id="{DF42CF06-FA8E-5B75-D647-B4708BB325BC}"/>
            </a:ext>
          </a:extLst>
        </xdr:cNvPr>
        <xdr:cNvSpPr txBox="1"/>
      </xdr:nvSpPr>
      <xdr:spPr>
        <a:xfrm>
          <a:off x="12284828" y="8718591"/>
          <a:ext cx="3809776" cy="44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a:solidFill>
                <a:srgbClr val="105442"/>
              </a:solidFill>
            </a:rPr>
            <a:t>Insight: </a:t>
          </a:r>
          <a:r>
            <a:rPr lang="en-US" sz="900" b="0" i="0">
              <a:solidFill>
                <a:schemeClr val="tx1"/>
              </a:solidFill>
            </a:rPr>
            <a:t>Impact is generally strong, but different states lead on different measures, suggesting room to strengthen weaker areas.</a:t>
          </a:r>
          <a:endParaRPr lang="en-US" sz="1000" b="0" i="0">
            <a:solidFill>
              <a:schemeClr val="tx1"/>
            </a:solidFill>
          </a:endParaRPr>
        </a:p>
      </xdr:txBody>
    </xdr:sp>
    <xdr:clientData/>
  </xdr:twoCellAnchor>
  <xdr:twoCellAnchor editAs="oneCell">
    <xdr:from>
      <xdr:col>19</xdr:col>
      <xdr:colOff>589492</xdr:colOff>
      <xdr:row>45</xdr:row>
      <xdr:rowOff>178329</xdr:rowOff>
    </xdr:from>
    <xdr:to>
      <xdr:col>20</xdr:col>
      <xdr:colOff>172223</xdr:colOff>
      <xdr:row>47</xdr:row>
      <xdr:rowOff>13329</xdr:rowOff>
    </xdr:to>
    <xdr:pic>
      <xdr:nvPicPr>
        <xdr:cNvPr id="136" name="Graphic 135" descr="Lightbulb and gear with solid fill">
          <a:extLst>
            <a:ext uri="{FF2B5EF4-FFF2-40B4-BE49-F238E27FC236}">
              <a16:creationId xmlns:a16="http://schemas.microsoft.com/office/drawing/2014/main" id="{656F9D88-A6E3-833F-4A14-0A5A523FE287}"/>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2126648" y="8750829"/>
          <a:ext cx="189950" cy="216000"/>
        </a:xfrm>
        <a:prstGeom prst="rect">
          <a:avLst/>
        </a:prstGeom>
      </xdr:spPr>
    </xdr:pic>
    <xdr:clientData/>
  </xdr:twoCellAnchor>
  <xdr:twoCellAnchor editAs="oneCell">
    <xdr:from>
      <xdr:col>6</xdr:col>
      <xdr:colOff>152398</xdr:colOff>
      <xdr:row>4</xdr:row>
      <xdr:rowOff>114300</xdr:rowOff>
    </xdr:from>
    <xdr:to>
      <xdr:col>15</xdr:col>
      <xdr:colOff>346364</xdr:colOff>
      <xdr:row>8</xdr:row>
      <xdr:rowOff>137583</xdr:rowOff>
    </xdr:to>
    <mc:AlternateContent xmlns:mc="http://schemas.openxmlformats.org/markup-compatibility/2006" xmlns:a14="http://schemas.microsoft.com/office/drawing/2010/main">
      <mc:Choice Requires="a14">
        <xdr:graphicFrame macro="">
          <xdr:nvGraphicFramePr>
            <xdr:cNvPr id="137" name="Performance Status">
              <a:extLst>
                <a:ext uri="{FF2B5EF4-FFF2-40B4-BE49-F238E27FC236}">
                  <a16:creationId xmlns:a16="http://schemas.microsoft.com/office/drawing/2014/main" id="{0C984ACC-4202-4A45-BD15-23CF868F2EAC}"/>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3795711" y="876300"/>
              <a:ext cx="5658934" cy="785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4</xdr:row>
      <xdr:rowOff>115875</xdr:rowOff>
    </xdr:from>
    <xdr:to>
      <xdr:col>26</xdr:col>
      <xdr:colOff>323850</xdr:colOff>
      <xdr:row>8</xdr:row>
      <xdr:rowOff>137427</xdr:rowOff>
    </xdr:to>
    <mc:AlternateContent xmlns:mc="http://schemas.openxmlformats.org/markup-compatibility/2006" xmlns:a14="http://schemas.microsoft.com/office/drawing/2010/main">
      <mc:Choice Requires="a14">
        <xdr:graphicFrame macro="">
          <xdr:nvGraphicFramePr>
            <xdr:cNvPr id="6" name="Intervention">
              <a:extLst>
                <a:ext uri="{FF2B5EF4-FFF2-40B4-BE49-F238E27FC236}">
                  <a16:creationId xmlns:a16="http://schemas.microsoft.com/office/drawing/2014/main" id="{9F4E8A9E-6E2B-45FF-89CF-7D32E25ADBF7}"/>
                </a:ext>
              </a:extLst>
            </xdr:cNvPr>
            <xdr:cNvGraphicFramePr/>
          </xdr:nvGraphicFramePr>
          <xdr:xfrm>
            <a:off x="0" y="0"/>
            <a:ext cx="0" cy="0"/>
          </xdr:xfrm>
          <a:graphic>
            <a:graphicData uri="http://schemas.microsoft.com/office/drawing/2010/slicer">
              <sle:slicer xmlns:sle="http://schemas.microsoft.com/office/drawing/2010/slicer" name="Intervention"/>
            </a:graphicData>
          </a:graphic>
        </xdr:graphicFrame>
      </mc:Choice>
      <mc:Fallback xmlns="">
        <xdr:sp macro="" textlink="">
          <xdr:nvSpPr>
            <xdr:cNvPr id="0" name=""/>
            <xdr:cNvSpPr>
              <a:spLocks noTextEdit="1"/>
            </xdr:cNvSpPr>
          </xdr:nvSpPr>
          <xdr:spPr>
            <a:xfrm>
              <a:off x="9527381" y="877875"/>
              <a:ext cx="6584157" cy="783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66675</xdr:rowOff>
    </xdr:from>
    <xdr:to>
      <xdr:col>10</xdr:col>
      <xdr:colOff>38100</xdr:colOff>
      <xdr:row>31</xdr:row>
      <xdr:rowOff>104775</xdr:rowOff>
    </xdr:to>
    <xdr:sp macro="" textlink="">
      <xdr:nvSpPr>
        <xdr:cNvPr id="2" name="Rectangle 1">
          <a:extLst>
            <a:ext uri="{FF2B5EF4-FFF2-40B4-BE49-F238E27FC236}">
              <a16:creationId xmlns:a16="http://schemas.microsoft.com/office/drawing/2014/main" id="{226CAC14-A5CA-45E9-8526-D309BD69C74A}"/>
            </a:ext>
          </a:extLst>
        </xdr:cNvPr>
        <xdr:cNvSpPr/>
      </xdr:nvSpPr>
      <xdr:spPr>
        <a:xfrm>
          <a:off x="381000" y="257175"/>
          <a:ext cx="5753100" cy="57531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133350</xdr:colOff>
      <xdr:row>1</xdr:row>
      <xdr:rowOff>66675</xdr:rowOff>
    </xdr:from>
    <xdr:to>
      <xdr:col>19</xdr:col>
      <xdr:colOff>400050</xdr:colOff>
      <xdr:row>31</xdr:row>
      <xdr:rowOff>104775</xdr:rowOff>
    </xdr:to>
    <xdr:sp macro="" textlink="">
      <xdr:nvSpPr>
        <xdr:cNvPr id="3" name="Rectangle 2">
          <a:extLst>
            <a:ext uri="{FF2B5EF4-FFF2-40B4-BE49-F238E27FC236}">
              <a16:creationId xmlns:a16="http://schemas.microsoft.com/office/drawing/2014/main" id="{3E4477CF-6FB4-4DC1-8E0C-4B1F7D371F29}"/>
            </a:ext>
          </a:extLst>
        </xdr:cNvPr>
        <xdr:cNvSpPr/>
      </xdr:nvSpPr>
      <xdr:spPr>
        <a:xfrm>
          <a:off x="6229350" y="257175"/>
          <a:ext cx="5753100" cy="57531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9524</xdr:colOff>
      <xdr:row>1</xdr:row>
      <xdr:rowOff>66675</xdr:rowOff>
    </xdr:from>
    <xdr:to>
      <xdr:col>6</xdr:col>
      <xdr:colOff>590549</xdr:colOff>
      <xdr:row>3</xdr:row>
      <xdr:rowOff>69966</xdr:rowOff>
    </xdr:to>
    <xdr:sp macro="" textlink="">
      <xdr:nvSpPr>
        <xdr:cNvPr id="4" name="TextBox 3">
          <a:extLst>
            <a:ext uri="{FF2B5EF4-FFF2-40B4-BE49-F238E27FC236}">
              <a16:creationId xmlns:a16="http://schemas.microsoft.com/office/drawing/2014/main" id="{D86E77E6-7099-4602-A38A-73D9358EF447}"/>
            </a:ext>
          </a:extLst>
        </xdr:cNvPr>
        <xdr:cNvSpPr txBox="1"/>
      </xdr:nvSpPr>
      <xdr:spPr>
        <a:xfrm>
          <a:off x="1838324" y="257175"/>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In Analysis Observations</a:t>
          </a:r>
        </a:p>
      </xdr:txBody>
    </xdr:sp>
    <xdr:clientData/>
  </xdr:twoCellAnchor>
  <xdr:twoCellAnchor>
    <xdr:from>
      <xdr:col>0</xdr:col>
      <xdr:colOff>390524</xdr:colOff>
      <xdr:row>3</xdr:row>
      <xdr:rowOff>28575</xdr:rowOff>
    </xdr:from>
    <xdr:to>
      <xdr:col>9</xdr:col>
      <xdr:colOff>533400</xdr:colOff>
      <xdr:row>30</xdr:row>
      <xdr:rowOff>180975</xdr:rowOff>
    </xdr:to>
    <xdr:sp macro="" textlink="">
      <xdr:nvSpPr>
        <xdr:cNvPr id="6" name="TextBox 5">
          <a:extLst>
            <a:ext uri="{FF2B5EF4-FFF2-40B4-BE49-F238E27FC236}">
              <a16:creationId xmlns:a16="http://schemas.microsoft.com/office/drawing/2014/main" id="{27FFF7AF-DF44-48F4-872D-7B762B53640A}"/>
            </a:ext>
          </a:extLst>
        </xdr:cNvPr>
        <xdr:cNvSpPr txBox="1"/>
      </xdr:nvSpPr>
      <xdr:spPr>
        <a:xfrm>
          <a:off x="390524" y="600075"/>
          <a:ext cx="5629276" cy="529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t>1. Which interventions/states are missing their targets?</a:t>
          </a:r>
        </a:p>
        <a:p>
          <a:pPr algn="l"/>
          <a:r>
            <a:rPr lang="en-US" sz="1000" b="0"/>
            <a:t>Ogun records the largest target shortfall at 19 units, followed by Lagos (18), Kwara (14), and Enugu (10). Together, these four states account for a total shortfall of 61 units, indicating where intervention efforts may need to be prioritised.</a:t>
          </a:r>
        </a:p>
        <a:p>
          <a:pPr algn="l"/>
          <a:r>
            <a:rPr lang="en-US" sz="1000" b="0"/>
            <a:t>By contrast, Delta (+13), Oyo (+7), Rivers (+4), and Edo (+2) are exceeding their targets.</a:t>
          </a:r>
        </a:p>
        <a:p>
          <a:pPr algn="l"/>
          <a:endParaRPr lang="en-US" sz="1000" b="0"/>
        </a:p>
        <a:p>
          <a:pPr algn="l"/>
          <a:r>
            <a:rPr lang="en-US" sz="1000" b="1"/>
            <a:t>2. Are beneficiaries actually gaining clean-energy access?</a:t>
          </a:r>
        </a:p>
        <a:p>
          <a:pPr algn="l"/>
          <a:r>
            <a:rPr lang="en-US" sz="1000" b="0"/>
            <a:t>Across the six states, actual clean-energy access falls below the number of beneficiaries in every case, indicating that not all identified beneficiaries are currently gaining access.</a:t>
          </a:r>
        </a:p>
        <a:p>
          <a:pPr algn="l"/>
          <a:r>
            <a:rPr lang="en-US" sz="1000" b="0"/>
            <a:t>A. Anambra has the largest reach in absolute terms, with 13.9K beneficiaries gaining access out of 16.6K. </a:t>
          </a:r>
        </a:p>
        <a:p>
          <a:pPr algn="l"/>
          <a:r>
            <a:rPr lang="en-US" sz="1000" b="0"/>
            <a:t>B. Plateau shows the strongest coverage, with 10.9K of 12.1K beneficiaries reached. </a:t>
          </a:r>
        </a:p>
        <a:p>
          <a:pPr algn="l"/>
          <a:r>
            <a:rPr lang="en-US" sz="1000" b="0"/>
            <a:t>C. Ogun and Lagos have relatively larger access gaps, with 1.6K and 1.5K beneficiaries respectively yet to gain access.</a:t>
          </a:r>
        </a:p>
        <a:p>
          <a:pPr algn="l"/>
          <a:endParaRPr lang="en-US" sz="1000" b="0"/>
        </a:p>
        <a:p>
          <a:pPr algn="l"/>
          <a:r>
            <a:rPr lang="en-US" sz="1000" b="1"/>
            <a:t>3. Does reliability relate to community satisfaction?</a:t>
          </a:r>
        </a:p>
        <a:p>
          <a:pPr algn="l"/>
          <a:r>
            <a:rPr lang="en-US" sz="1000" b="0"/>
            <a:t>Community satisfaction tends to be higher at stronger reliability levels, with several satisfaction scores above 7 appearing at reliability levels of 84% and above. However, the relationship is not consistent, as some highly reliable communities still report satisfaction scores around 3–4.</a:t>
          </a:r>
        </a:p>
        <a:p>
          <a:pPr algn="l"/>
          <a:endParaRPr lang="en-US" sz="1000" b="0"/>
        </a:p>
        <a:p>
          <a:pPr algn="l"/>
          <a:r>
            <a:rPr lang="en-US" sz="1000" b="1"/>
            <a:t>4. Is training translating into local jobs?</a:t>
          </a:r>
        </a:p>
        <a:p>
          <a:pPr algn="l"/>
          <a:r>
            <a:rPr lang="en-US" sz="1000" b="0"/>
            <a:t>Higher training levels do not consistently translate into more local jobs. For example, 71 training participants generated 109 jobs, while 96 generated only 9.</a:t>
          </a:r>
        </a:p>
        <a:p>
          <a:pPr algn="l"/>
          <a:endParaRPr lang="en-US" sz="1000" b="0"/>
        </a:p>
        <a:p>
          <a:pPr algn="l"/>
          <a:r>
            <a:rPr lang="en-US" sz="1000" b="1"/>
            <a:t>5. Which interventions demonstrate the strongest overall performance?</a:t>
          </a:r>
        </a:p>
        <a:p>
          <a:pPr algn="l"/>
          <a:r>
            <a:rPr lang="en-US" sz="1000" b="0"/>
            <a:t>Community Energy Access leads with 17, followed by Solar Backup System and Solar Water Pump at 15 each. Skills Training records the lowest score at 9.</a:t>
          </a:r>
        </a:p>
        <a:p>
          <a:pPr algn="l"/>
          <a:endParaRPr lang="en-US" sz="1000" b="1"/>
        </a:p>
        <a:p>
          <a:pPr algn="l"/>
          <a:r>
            <a:rPr lang="en-US" sz="1000" b="1"/>
            <a:t>6. Community Impact Profile</a:t>
          </a:r>
        </a:p>
        <a:p>
          <a:pPr algn="l"/>
          <a:r>
            <a:rPr lang="en-US" sz="1000" b="0"/>
            <a:t>Most states show strong performance across the three impact measures, but the results vary by state. Rivers has the highest second metric (87.3%), while Enugu leads the third metric (92%). Delta records the highest first metric at 103.57%.</a:t>
          </a:r>
        </a:p>
        <a:p>
          <a:pPr algn="l"/>
          <a:endParaRPr lang="en-US" sz="1000" b="0"/>
        </a:p>
      </xdr:txBody>
    </xdr:sp>
    <xdr:clientData/>
  </xdr:twoCellAnchor>
  <xdr:twoCellAnchor>
    <xdr:from>
      <xdr:col>10</xdr:col>
      <xdr:colOff>200024</xdr:colOff>
      <xdr:row>3</xdr:row>
      <xdr:rowOff>66676</xdr:rowOff>
    </xdr:from>
    <xdr:to>
      <xdr:col>19</xdr:col>
      <xdr:colOff>342900</xdr:colOff>
      <xdr:row>30</xdr:row>
      <xdr:rowOff>180976</xdr:rowOff>
    </xdr:to>
    <xdr:sp macro="" textlink="">
      <xdr:nvSpPr>
        <xdr:cNvPr id="23" name="TextBox 22">
          <a:extLst>
            <a:ext uri="{FF2B5EF4-FFF2-40B4-BE49-F238E27FC236}">
              <a16:creationId xmlns:a16="http://schemas.microsoft.com/office/drawing/2014/main" id="{0D86CCF1-C4B6-61FE-C23B-4143F8E8D79D}"/>
            </a:ext>
          </a:extLst>
        </xdr:cNvPr>
        <xdr:cNvSpPr txBox="1"/>
      </xdr:nvSpPr>
      <xdr:spPr>
        <a:xfrm>
          <a:off x="6296024" y="638176"/>
          <a:ext cx="5629276" cy="525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t>1. Prioritise underperforming states</a:t>
          </a:r>
          <a:br>
            <a:rPr lang="en-US" sz="1000" b="0"/>
          </a:br>
          <a:r>
            <a:rPr lang="en-US" sz="1000" b="0"/>
            <a:t>Focus immediate support on Ogun, Lagos, Kwara and Enugu, where beneficiary targets are below expectations. </a:t>
          </a:r>
        </a:p>
        <a:p>
          <a:pPr algn="l"/>
          <a:endParaRPr lang="en-US" sz="1000" b="0"/>
        </a:p>
        <a:p>
          <a:pPr algn="l"/>
          <a:r>
            <a:rPr lang="en-US" sz="1000" b="1"/>
            <a:t>2. Close clean-energy access gaps</a:t>
          </a:r>
          <a:br>
            <a:rPr lang="en-US" sz="1000" b="0"/>
          </a:br>
          <a:r>
            <a:rPr lang="en-US" sz="1000" b="0"/>
            <a:t>Strengthen last-mile delivery to ensure more identified beneficiaries actually receive clean-energy access. </a:t>
          </a:r>
        </a:p>
        <a:p>
          <a:pPr algn="l"/>
          <a:endParaRPr lang="en-US" sz="1000" b="0"/>
        </a:p>
        <a:p>
          <a:pPr algn="l"/>
          <a:r>
            <a:rPr lang="en-US" sz="1000" b="1"/>
            <a:t>3. Improve reliability and service quality</a:t>
          </a:r>
          <a:br>
            <a:rPr lang="en-US" sz="1000" b="0"/>
          </a:br>
          <a:r>
            <a:rPr lang="en-US" sz="1000" b="0"/>
            <a:t>Address reliability issues in communities with lower satisfaction to improve the overall user experience.</a:t>
          </a:r>
        </a:p>
        <a:p>
          <a:pPr algn="l"/>
          <a:endParaRPr lang="en-US" sz="1000" b="0"/>
        </a:p>
        <a:p>
          <a:pPr algn="l"/>
          <a:r>
            <a:rPr lang="en-US" sz="1000" b="1"/>
            <a:t> 4. Strengthen post-training job placement</a:t>
          </a:r>
          <a:br>
            <a:rPr lang="en-US" sz="1000" b="0"/>
          </a:br>
          <a:r>
            <a:rPr lang="en-US" sz="1000" b="0"/>
            <a:t>Link skills training to local employers, contractors and project opportunities to improve job creation. </a:t>
          </a:r>
        </a:p>
        <a:p>
          <a:pPr algn="l"/>
          <a:endParaRPr lang="en-US" sz="1000" b="0"/>
        </a:p>
        <a:p>
          <a:pPr algn="l"/>
          <a:r>
            <a:rPr lang="en-US" sz="1000" b="1"/>
            <a:t>5. Scale high-performing energy interventions</a:t>
          </a:r>
          <a:br>
            <a:rPr lang="en-US" sz="1000" b="0"/>
          </a:br>
          <a:r>
            <a:rPr lang="en-US" sz="1000" b="0"/>
            <a:t>Consider expanding interventions such as Community Energy Access, Solar Backup Systems and Solar Water Pumps, which recorded the strongest performance scores. </a:t>
          </a:r>
        </a:p>
        <a:p>
          <a:pPr algn="l"/>
          <a:endParaRPr lang="en-US" sz="1000" b="0"/>
        </a:p>
        <a:p>
          <a:pPr algn="l"/>
          <a:r>
            <a:rPr lang="en-US" sz="1000" b="1"/>
            <a:t>6. Target state-specific weaknesses</a:t>
          </a:r>
          <a:br>
            <a:rPr lang="en-US" sz="1000" b="0"/>
          </a:br>
          <a:r>
            <a:rPr lang="en-US" sz="1000" b="0"/>
            <a:t>Since states perform differently across the impact measures, use state-level data to identify and address specific gaps rather than applying the same intervention strategy everywhere.</a:t>
          </a:r>
        </a:p>
      </xdr:txBody>
    </xdr:sp>
    <xdr:clientData/>
  </xdr:twoCellAnchor>
  <xdr:twoCellAnchor>
    <xdr:from>
      <xdr:col>12</xdr:col>
      <xdr:colOff>304799</xdr:colOff>
      <xdr:row>1</xdr:row>
      <xdr:rowOff>85725</xdr:rowOff>
    </xdr:from>
    <xdr:to>
      <xdr:col>16</xdr:col>
      <xdr:colOff>276224</xdr:colOff>
      <xdr:row>3</xdr:row>
      <xdr:rowOff>89016</xdr:rowOff>
    </xdr:to>
    <xdr:sp macro="" textlink="">
      <xdr:nvSpPr>
        <xdr:cNvPr id="24" name="TextBox 23">
          <a:extLst>
            <a:ext uri="{FF2B5EF4-FFF2-40B4-BE49-F238E27FC236}">
              <a16:creationId xmlns:a16="http://schemas.microsoft.com/office/drawing/2014/main" id="{D9D5D48D-9F7A-7256-A825-19E42169F14F}"/>
            </a:ext>
          </a:extLst>
        </xdr:cNvPr>
        <xdr:cNvSpPr txBox="1"/>
      </xdr:nvSpPr>
      <xdr:spPr>
        <a:xfrm>
          <a:off x="7619999" y="276225"/>
          <a:ext cx="2409825"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In Analysis Recommendations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142874</xdr:colOff>
      <xdr:row>1</xdr:row>
      <xdr:rowOff>95250</xdr:rowOff>
    </xdr:from>
    <xdr:to>
      <xdr:col>15</xdr:col>
      <xdr:colOff>571500</xdr:colOff>
      <xdr:row>31</xdr:row>
      <xdr:rowOff>133350</xdr:rowOff>
    </xdr:to>
    <xdr:sp macro="" textlink="">
      <xdr:nvSpPr>
        <xdr:cNvPr id="2" name="Rectangle 1">
          <a:extLst>
            <a:ext uri="{FF2B5EF4-FFF2-40B4-BE49-F238E27FC236}">
              <a16:creationId xmlns:a16="http://schemas.microsoft.com/office/drawing/2014/main" id="{16CD2FC3-0D7E-48BD-AE27-2F95A38225EC}"/>
            </a:ext>
          </a:extLst>
        </xdr:cNvPr>
        <xdr:cNvSpPr/>
      </xdr:nvSpPr>
      <xdr:spPr>
        <a:xfrm>
          <a:off x="3190874" y="285750"/>
          <a:ext cx="6524626" cy="57531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380999</xdr:colOff>
      <xdr:row>1</xdr:row>
      <xdr:rowOff>95250</xdr:rowOff>
    </xdr:from>
    <xdr:to>
      <xdr:col>13</xdr:col>
      <xdr:colOff>304800</xdr:colOff>
      <xdr:row>3</xdr:row>
      <xdr:rowOff>98541</xdr:rowOff>
    </xdr:to>
    <xdr:sp macro="" textlink="">
      <xdr:nvSpPr>
        <xdr:cNvPr id="4" name="TextBox 3">
          <a:extLst>
            <a:ext uri="{FF2B5EF4-FFF2-40B4-BE49-F238E27FC236}">
              <a16:creationId xmlns:a16="http://schemas.microsoft.com/office/drawing/2014/main" id="{B3413560-53B1-4B19-9D72-D11AA19EF32D}"/>
            </a:ext>
          </a:extLst>
        </xdr:cNvPr>
        <xdr:cNvSpPr txBox="1"/>
      </xdr:nvSpPr>
      <xdr:spPr>
        <a:xfrm>
          <a:off x="4648199" y="285750"/>
          <a:ext cx="3581401" cy="384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Final StakeHolder Recommendations</a:t>
          </a:r>
        </a:p>
      </xdr:txBody>
    </xdr:sp>
    <xdr:clientData/>
  </xdr:twoCellAnchor>
  <xdr:twoCellAnchor>
    <xdr:from>
      <xdr:col>5</xdr:col>
      <xdr:colOff>152399</xdr:colOff>
      <xdr:row>3</xdr:row>
      <xdr:rowOff>57150</xdr:rowOff>
    </xdr:from>
    <xdr:to>
      <xdr:col>15</xdr:col>
      <xdr:colOff>409575</xdr:colOff>
      <xdr:row>31</xdr:row>
      <xdr:rowOff>76200</xdr:rowOff>
    </xdr:to>
    <xdr:sp macro="" textlink="">
      <xdr:nvSpPr>
        <xdr:cNvPr id="5" name="TextBox 4">
          <a:extLst>
            <a:ext uri="{FF2B5EF4-FFF2-40B4-BE49-F238E27FC236}">
              <a16:creationId xmlns:a16="http://schemas.microsoft.com/office/drawing/2014/main" id="{A35D286A-7E94-4E89-B149-00CF8816C25A}"/>
            </a:ext>
          </a:extLst>
        </xdr:cNvPr>
        <xdr:cNvSpPr txBox="1"/>
      </xdr:nvSpPr>
      <xdr:spPr>
        <a:xfrm>
          <a:off x="3200399" y="628650"/>
          <a:ext cx="6353176" cy="535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Based on the analysis, I would recommend the following actions:</a:t>
          </a:r>
        </a:p>
        <a:p>
          <a:endParaRPr lang="en-US" sz="1000"/>
        </a:p>
        <a:p>
          <a:r>
            <a:rPr lang="en-US" sz="1000" b="1"/>
            <a:t>1. I would prioritise Ogun, Lagos, Kwara and Enugu for targeted intervention.</a:t>
          </a:r>
          <a:br>
            <a:rPr lang="en-US" sz="1000"/>
          </a:br>
          <a:r>
            <a:rPr lang="en-US" sz="1000"/>
            <a:t>These states are currently below their beneficiary targets, so I would first identify the specific delivery gaps in each state before allocating additional resources. </a:t>
          </a:r>
        </a:p>
        <a:p>
          <a:endParaRPr lang="en-US" sz="1000"/>
        </a:p>
        <a:p>
          <a:r>
            <a:rPr lang="en-US" sz="1000" b="1"/>
            <a:t>2. I would focus on closing the gap between beneficiaries and actual clean-energy access.</a:t>
          </a:r>
          <a:br>
            <a:rPr lang="en-US" sz="1000"/>
          </a:br>
          <a:r>
            <a:rPr lang="en-US" sz="1000"/>
            <a:t>Rather than only tracking how many people are registered as beneficiaries, I would track how many have actually received and are using the energy solution. This would make last-mile delivery a clear performance measure. </a:t>
          </a:r>
        </a:p>
        <a:p>
          <a:endParaRPr lang="en-US" sz="1000"/>
        </a:p>
        <a:p>
          <a:r>
            <a:rPr lang="en-US" sz="1000" b="1"/>
            <a:t>3. I would strengthen post-training job placement.</a:t>
          </a:r>
          <a:br>
            <a:rPr lang="en-US" sz="1000"/>
          </a:br>
          <a:r>
            <a:rPr lang="en-US" sz="1000"/>
            <a:t>Since training does not consistently result in local jobs, I would connect trainees with local installers, contractors, suppliers and project teams. I would also track how many trainees secure work after completing each programme. </a:t>
          </a:r>
        </a:p>
        <a:p>
          <a:endParaRPr lang="en-US" sz="1000"/>
        </a:p>
        <a:p>
          <a:r>
            <a:rPr lang="en-US" sz="1000" b="1"/>
            <a:t>4. I would improve reliability where community satisfaction is low.</a:t>
          </a:r>
          <a:br>
            <a:rPr lang="en-US" sz="1000"/>
          </a:br>
          <a:r>
            <a:rPr lang="en-US" sz="1000"/>
            <a:t>I would use community feedback alongside reliability data to identify locations where equipment downtime or service interruptions are affecting satisfaction, then prioritise those locations for maintenance. </a:t>
          </a:r>
        </a:p>
        <a:p>
          <a:endParaRPr lang="en-US" sz="1000"/>
        </a:p>
        <a:p>
          <a:r>
            <a:rPr lang="en-US" sz="1000" b="1"/>
            <a:t>5. I would expand interventions that are already performing well.</a:t>
          </a:r>
          <a:br>
            <a:rPr lang="en-US" sz="1000"/>
          </a:br>
          <a:r>
            <a:rPr lang="en-US" sz="1000" b="0"/>
            <a:t>I would consider scaling Community Energy Access, Solar Backup Systems and Solar Water Pumps, while continuing to monitor their results to ensure expansion maintains the same level of impact. </a:t>
          </a:r>
        </a:p>
        <a:p>
          <a:endParaRPr lang="en-US" sz="1000"/>
        </a:p>
        <a:p>
          <a:r>
            <a:rPr lang="en-US" sz="1000" b="1"/>
            <a:t>6. I would manage each state based on its specific performance gaps.</a:t>
          </a:r>
          <a:br>
            <a:rPr lang="en-US" sz="1000"/>
          </a:br>
          <a:r>
            <a:rPr lang="en-US" sz="1000" b="0"/>
            <a:t>Rather than using one approach across all communities, I would use the dashboard to identify whether each state needs more focus on energy access, reliability, training, employment or community satisfaction. </a:t>
          </a:r>
        </a:p>
        <a:p>
          <a:endParaRPr lang="en-US" sz="1000"/>
        </a:p>
        <a:p>
          <a:r>
            <a:rPr lang="en-US" sz="1000" b="1"/>
            <a:t>7. I would introduce a simple monthly impact review.</a:t>
          </a:r>
          <a:br>
            <a:rPr lang="en-US" sz="1000"/>
          </a:br>
          <a:r>
            <a:rPr lang="en-US" sz="1000" b="0"/>
            <a:t>I would track a small set of KPIs;</a:t>
          </a:r>
          <a:r>
            <a:rPr lang="en-US" sz="1000" b="0" baseline="0"/>
            <a:t> </a:t>
          </a:r>
          <a:r>
            <a:rPr lang="en-US" sz="1000" b="0"/>
            <a:t>target achievement, clean-energy access, reliability, community satisfaction and local jobs created</a:t>
          </a:r>
          <a:r>
            <a:rPr lang="en-US" sz="1000" b="0" baseline="0"/>
            <a:t> </a:t>
          </a:r>
          <a:r>
            <a:rPr lang="en-US" sz="1000" b="0"/>
            <a:t>and use the results to decide where resources and corrective actions are needed each month. </a:t>
          </a:r>
        </a:p>
        <a:p>
          <a:endParaRPr lang="en-US" sz="1000"/>
        </a:p>
        <a:p>
          <a:r>
            <a:rPr lang="en-US" sz="1000" b="1"/>
            <a:t>Overall recommendation</a:t>
          </a:r>
        </a:p>
        <a:p>
          <a:r>
            <a:rPr lang="en-US" sz="1000" b="0"/>
            <a:t>I would move the programme from measuring activities to measuring outcomes: not just how many people we train or target, but how many actually gain energy access, experience reliable service, find local employment and report improved community outcomes.</a:t>
          </a:r>
        </a:p>
        <a:p>
          <a:pPr algn="l"/>
          <a:endParaRPr lang="en-US" sz="10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sibor" refreshedDate="46288.706277083336" createdVersion="8" refreshedVersion="8" minRefreshableVersion="3" recordCount="80" xr:uid="{705B240E-E4C7-4D30-B62F-16D91DF0DDFE}">
  <cacheSource type="worksheet">
    <worksheetSource name="Table1"/>
  </cacheSource>
  <cacheFields count="21">
    <cacheField name="Record_ID" numFmtId="0">
      <sharedItems/>
    </cacheField>
    <cacheField name="Project" numFmtId="0">
      <sharedItems/>
    </cacheField>
    <cacheField name="State" numFmtId="0">
      <sharedItems count="15">
        <s v="Anambra"/>
        <s v="Edo"/>
        <s v="Lagos"/>
        <s v="Enugu"/>
        <s v="Kaduna"/>
        <s v="Delta"/>
        <s v="Cross River"/>
        <s v="Abia"/>
        <s v="Kano"/>
        <s v="Kwara"/>
        <s v="Ogun"/>
        <s v="Oyo"/>
        <s v="Plateau"/>
        <s v="Niger"/>
        <s v="Rivers"/>
      </sharedItems>
    </cacheField>
    <cacheField name="Intervention" numFmtId="0">
      <sharedItems count="6">
        <s v="Solar Water Pump"/>
        <s v="Solar Backup System"/>
        <s v="Community Energy Access"/>
        <s v="Skills Training"/>
        <s v="Institutional Capacity Building"/>
        <s v="Solar Mini-grid"/>
      </sharedItems>
    </cacheField>
    <cacheField name="Baseline_pct" numFmtId="0">
      <sharedItems containsSemiMixedTypes="0" containsString="0" containsNumber="1" containsInteger="1" minValue="30" maxValue="74"/>
    </cacheField>
    <cacheField name="Target_%" numFmtId="0">
      <sharedItems containsSemiMixedTypes="0" containsString="0" containsNumber="1" containsInteger="1" minValue="70" maxValue="95"/>
    </cacheField>
    <cacheField name="Current_Achievement_%" numFmtId="0">
      <sharedItems containsSemiMixedTypes="0" containsString="0" containsNumber="1" containsInteger="1" minValue="49" maxValue="100"/>
    </cacheField>
    <cacheField name="Beneficiaries" numFmtId="0">
      <sharedItems containsSemiMixedTypes="0" containsString="0" containsNumber="1" containsInteger="1" minValue="87" maxValue="2495"/>
    </cacheField>
    <cacheField name="Local_Jobs_Created" numFmtId="0">
      <sharedItems containsSemiMixedTypes="0" containsString="0" containsNumber="1" containsInteger="1" minValue="7" maxValue="78"/>
    </cacheField>
    <cacheField name="People_Trained" numFmtId="0">
      <sharedItems containsSemiMixedTypes="0" containsString="0" containsNumber="1" containsInteger="1" minValue="30" maxValue="349" count="72">
        <n v="131"/>
        <n v="37"/>
        <n v="57"/>
        <n v="96"/>
        <n v="241"/>
        <n v="204"/>
        <n v="273"/>
        <n v="292"/>
        <n v="208"/>
        <n v="190"/>
        <n v="332"/>
        <n v="256"/>
        <n v="240"/>
        <n v="219"/>
        <n v="166"/>
        <n v="183"/>
        <n v="229"/>
        <n v="203"/>
        <n v="214"/>
        <n v="159"/>
        <n v="313"/>
        <n v="110"/>
        <n v="330"/>
        <n v="326"/>
        <n v="71"/>
        <n v="228"/>
        <n v="281"/>
        <n v="79"/>
        <n v="119"/>
        <n v="160"/>
        <n v="216"/>
        <n v="112"/>
        <n v="125"/>
        <n v="310"/>
        <n v="298"/>
        <n v="93"/>
        <n v="30"/>
        <n v="291"/>
        <n v="265"/>
        <n v="36"/>
        <n v="170"/>
        <n v="64"/>
        <n v="348"/>
        <n v="343"/>
        <n v="114"/>
        <n v="126"/>
        <n v="66"/>
        <n v="302"/>
        <n v="317"/>
        <n v="31"/>
        <n v="143"/>
        <n v="129"/>
        <n v="236"/>
        <n v="106"/>
        <n v="123"/>
        <n v="344"/>
        <n v="73"/>
        <n v="121"/>
        <n v="318"/>
        <n v="61"/>
        <n v="70"/>
        <n v="234"/>
        <n v="305"/>
        <n v="200"/>
        <n v="349"/>
        <n v="151"/>
        <n v="263"/>
        <n v="105"/>
        <n v="205"/>
        <n v="191"/>
        <n v="284"/>
        <n v="142"/>
      </sharedItems>
    </cacheField>
    <cacheField name="People_Gaining_Clean_Energy_Access" numFmtId="0">
      <sharedItems containsSemiMixedTypes="0" containsString="0" containsNumber="1" containsInteger="1" minValue="60" maxValue="2405"/>
    </cacheField>
    <cacheField name="System_Uptime_%" numFmtId="10">
      <sharedItems containsSemiMixedTypes="0" containsString="0" containsNumber="1" minValue="0.78200000000000003" maxValue="0.99399999999999999" count="66">
        <n v="0.96799999999999997"/>
        <n v="0.94699999999999995"/>
        <n v="0.85799999999999998"/>
        <n v="0.88500000000000001"/>
        <n v="0.88600000000000001"/>
        <n v="0.83399999999999996"/>
        <n v="0.89200000000000002"/>
        <n v="0.83099999999999996"/>
        <n v="0.82399999999999995"/>
        <n v="0.96"/>
        <n v="0.91100000000000003"/>
        <n v="0.83"/>
        <n v="0.84399999999999997"/>
        <n v="0.78200000000000003"/>
        <n v="0.89600000000000002"/>
        <n v="0.81200000000000006"/>
        <n v="0.79200000000000004"/>
        <n v="0.84699999999999998"/>
        <n v="0.98399999999999999"/>
        <n v="0.95699999999999996"/>
        <n v="0.8"/>
        <n v="0.89400000000000002"/>
        <n v="0.89300000000000002"/>
        <n v="0.97299999999999998"/>
        <n v="0.81899999999999995"/>
        <n v="0.98099999999999998"/>
        <n v="0.96199999999999997"/>
        <n v="0.98199999999999998"/>
        <n v="0.80100000000000005"/>
        <n v="0.86599999999999999"/>
        <n v="0.99"/>
        <n v="0.97099999999999997"/>
        <n v="0.79800000000000004"/>
        <n v="0.86399999999999999"/>
        <n v="0.83899999999999997"/>
        <n v="0.84799999999999998"/>
        <n v="0.94199999999999995"/>
        <n v="0.95299999999999996"/>
        <n v="0.86799999999999999"/>
        <n v="0.79700000000000004"/>
        <n v="0.91300000000000003"/>
        <n v="0.80800000000000005"/>
        <n v="0.94499999999999995"/>
        <n v="0.91"/>
        <n v="0.91400000000000003"/>
        <n v="0.88"/>
        <n v="0.90900000000000003"/>
        <n v="0.85399999999999998"/>
        <n v="0.83199999999999996"/>
        <n v="0.99399999999999999"/>
        <n v="0.91600000000000004"/>
        <n v="0.94799999999999995"/>
        <n v="0.94599999999999995"/>
        <n v="0.78900000000000003"/>
        <n v="0.78500000000000003"/>
        <n v="0.80300000000000005"/>
        <n v="0.91900000000000004"/>
        <n v="0.79300000000000004"/>
        <n v="0.90200000000000002"/>
        <n v="0.84899999999999998"/>
        <n v="0.84599999999999997"/>
        <n v="0.871"/>
        <n v="0.95499999999999996"/>
        <n v="0.79"/>
        <n v="0.95599999999999996"/>
        <n v="0.82"/>
      </sharedItems>
    </cacheField>
    <cacheField name="Community_Satisfaction" numFmtId="0">
      <sharedItems containsSemiMixedTypes="0" containsString="0" containsNumber="1" minValue="3.2" maxValue="4.9000000000000004"/>
    </cacheField>
    <cacheField name="Achievement_Gap_pp" numFmtId="0">
      <sharedItems containsSemiMixedTypes="0" containsString="0" containsNumber="1" containsInteger="1" minValue="0" maxValue="65"/>
    </cacheField>
    <cacheField name="Achievement_Gap" numFmtId="0">
      <sharedItems containsSemiMixedTypes="0" containsString="0" containsNumber="1" containsInteger="1" minValue="0" maxValue="65"/>
    </cacheField>
    <cacheField name="Target_Gap" numFmtId="0">
      <sharedItems containsSemiMixedTypes="0" containsString="0" containsNumber="1" containsInteger="1" minValue="-28" maxValue="16"/>
    </cacheField>
    <cacheField name="Target_Achievement_Rate" numFmtId="10">
      <sharedItems containsSemiMixedTypes="0" containsString="0" containsNumber="1" minValue="0.67123287671232879" maxValue="1.2222222222222223"/>
    </cacheField>
    <cacheField name="Clean_Energy _Access_Rate" numFmtId="10">
      <sharedItems containsSemiMixedTypes="0" containsString="0" containsNumber="1" minValue="0.65209125475285168" maxValue="0.99666481378543637"/>
    </cacheField>
    <cacheField name="Training-to-Employment_Rate" numFmtId="10">
      <sharedItems containsSemiMixedTypes="0" containsString="0" containsNumber="1" minValue="2.6415094339622643E-2" maxValue="2.6"/>
    </cacheField>
    <cacheField name="Beneficiary_Without_Recorded_Clean_Engergy_Access" numFmtId="1">
      <sharedItems containsSemiMixedTypes="0" containsString="0" containsNumber="1" containsInteger="1" minValue="6" maxValue="778"/>
    </cacheField>
    <cacheField name="Performance Status" numFmtId="10">
      <sharedItems count="3">
        <s v="Meeting/Exceeding Target"/>
        <s v="Moderately Below Target"/>
        <s v="Significantly Below Target"/>
      </sharedItems>
    </cacheField>
  </cacheFields>
  <extLst>
    <ext xmlns:x14="http://schemas.microsoft.com/office/spreadsheetml/2009/9/main" uri="{725AE2AE-9491-48be-B2B4-4EB974FC3084}">
      <x14:pivotCacheDefinition pivotCacheId="153084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ME-0001"/>
    <s v="Niger Community Power Project"/>
    <x v="0"/>
    <x v="0"/>
    <n v="61"/>
    <n v="74"/>
    <n v="85"/>
    <n v="2365"/>
    <n v="27"/>
    <x v="0"/>
    <n v="1681"/>
    <x v="0"/>
    <n v="4"/>
    <n v="24"/>
    <n v="24"/>
    <n v="11"/>
    <n v="1.1486486486486487"/>
    <n v="0.71078224101479914"/>
    <n v="0.20610687022900764"/>
    <n v="684"/>
    <x v="0"/>
  </r>
  <r>
    <s v="ME-0002"/>
    <s v="Enugu Clean Energy Project"/>
    <x v="1"/>
    <x v="1"/>
    <n v="63"/>
    <n v="78"/>
    <n v="72"/>
    <n v="1192"/>
    <n v="51"/>
    <x v="1"/>
    <n v="1053"/>
    <x v="1"/>
    <n v="4.7"/>
    <n v="9"/>
    <n v="9"/>
    <n v="-6"/>
    <n v="0.92307692307692313"/>
    <n v="0.88338926174496646"/>
    <n v="1.3783783783783783"/>
    <n v="139"/>
    <x v="1"/>
  </r>
  <r>
    <s v="ME-0003"/>
    <s v="Niger Community Power Project"/>
    <x v="2"/>
    <x v="2"/>
    <n v="61"/>
    <n v="78"/>
    <n v="61"/>
    <n v="2328"/>
    <n v="66"/>
    <x v="2"/>
    <n v="2196"/>
    <x v="2"/>
    <n v="4.7"/>
    <n v="0"/>
    <n v="0"/>
    <n v="-17"/>
    <n v="0.78205128205128205"/>
    <n v="0.94329896907216493"/>
    <n v="1.1578947368421053"/>
    <n v="132"/>
    <x v="2"/>
  </r>
  <r>
    <s v="ME-0004"/>
    <s v="Edo Community Mini-grid"/>
    <x v="3"/>
    <x v="3"/>
    <n v="54"/>
    <n v="77"/>
    <n v="92"/>
    <n v="2012"/>
    <n v="9"/>
    <x v="3"/>
    <n v="1715"/>
    <x v="3"/>
    <n v="4.3"/>
    <n v="38"/>
    <n v="38"/>
    <n v="15"/>
    <n v="1.1948051948051948"/>
    <n v="0.85238568588469188"/>
    <n v="9.375E-2"/>
    <n v="297"/>
    <x v="0"/>
  </r>
  <r>
    <s v="ME-0005"/>
    <s v="Kwara SME Solar Programme"/>
    <x v="4"/>
    <x v="3"/>
    <n v="37"/>
    <n v="94"/>
    <n v="81"/>
    <n v="1525"/>
    <n v="56"/>
    <x v="4"/>
    <n v="1447"/>
    <x v="4"/>
    <n v="3.9"/>
    <n v="44"/>
    <n v="44"/>
    <n v="-13"/>
    <n v="0.86170212765957444"/>
    <n v="0.94885245901639348"/>
    <n v="0.23236514522821577"/>
    <n v="78"/>
    <x v="2"/>
  </r>
  <r>
    <s v="ME-0006"/>
    <s v="Rivers Solar Productive-Use Programme"/>
    <x v="5"/>
    <x v="2"/>
    <n v="37"/>
    <n v="92"/>
    <n v="97"/>
    <n v="151"/>
    <n v="65"/>
    <x v="5"/>
    <n v="139"/>
    <x v="5"/>
    <n v="4.8"/>
    <n v="60"/>
    <n v="60"/>
    <n v="5"/>
    <n v="1.0543478260869565"/>
    <n v="0.92052980132450335"/>
    <n v="0.31862745098039214"/>
    <n v="12"/>
    <x v="0"/>
  </r>
  <r>
    <s v="ME-0007"/>
    <s v="Ogun Solar Hub"/>
    <x v="6"/>
    <x v="0"/>
    <n v="58"/>
    <n v="74"/>
    <n v="75"/>
    <n v="2040"/>
    <n v="34"/>
    <x v="6"/>
    <n v="1697"/>
    <x v="6"/>
    <n v="4.2"/>
    <n v="17"/>
    <n v="17"/>
    <n v="1"/>
    <n v="1.0135135135135136"/>
    <n v="0.83186274509803926"/>
    <n v="0.12454212454212454"/>
    <n v="343"/>
    <x v="0"/>
  </r>
  <r>
    <s v="ME-0008"/>
    <s v="Kwara SME Solar Programme"/>
    <x v="7"/>
    <x v="2"/>
    <n v="71"/>
    <n v="87"/>
    <n v="73"/>
    <n v="355"/>
    <n v="57"/>
    <x v="7"/>
    <n v="267"/>
    <x v="7"/>
    <n v="4.8"/>
    <n v="2"/>
    <n v="2"/>
    <n v="-14"/>
    <n v="0.83908045977011492"/>
    <n v="0.75211267605633803"/>
    <n v="0.1952054794520548"/>
    <n v="88"/>
    <x v="2"/>
  </r>
  <r>
    <s v="ME-0009"/>
    <s v="Niger Community Power Project"/>
    <x v="8"/>
    <x v="4"/>
    <n v="37"/>
    <n v="95"/>
    <n v="95"/>
    <n v="1600"/>
    <n v="31"/>
    <x v="8"/>
    <n v="1126"/>
    <x v="3"/>
    <n v="3.9"/>
    <n v="58"/>
    <n v="58"/>
    <n v="0"/>
    <n v="1"/>
    <n v="0.70374999999999999"/>
    <n v="0.14903846153846154"/>
    <n v="474"/>
    <x v="0"/>
  </r>
  <r>
    <s v="ME-0010"/>
    <s v="Ogun Solar Hub"/>
    <x v="4"/>
    <x v="4"/>
    <n v="42"/>
    <n v="87"/>
    <n v="96"/>
    <n v="1836"/>
    <n v="16"/>
    <x v="9"/>
    <n v="1212"/>
    <x v="8"/>
    <n v="3.8"/>
    <n v="54"/>
    <n v="54"/>
    <n v="9"/>
    <n v="1.103448275862069"/>
    <n v="0.66013071895424835"/>
    <n v="8.4210526315789472E-2"/>
    <n v="624"/>
    <x v="0"/>
  </r>
  <r>
    <s v="ME-0011"/>
    <s v="Oyo Solar Water Initiative"/>
    <x v="9"/>
    <x v="0"/>
    <n v="44"/>
    <n v="78"/>
    <n v="89"/>
    <n v="644"/>
    <n v="55"/>
    <x v="10"/>
    <n v="517"/>
    <x v="9"/>
    <n v="3.5"/>
    <n v="45"/>
    <n v="45"/>
    <n v="11"/>
    <n v="1.141025641025641"/>
    <n v="0.80279503105590067"/>
    <n v="0.16566265060240964"/>
    <n v="127"/>
    <x v="0"/>
  </r>
  <r>
    <s v="ME-0012"/>
    <s v="Kaduna Health Power"/>
    <x v="10"/>
    <x v="0"/>
    <n v="45"/>
    <n v="78"/>
    <n v="72"/>
    <n v="1886"/>
    <n v="15"/>
    <x v="11"/>
    <n v="1299"/>
    <x v="10"/>
    <n v="3.7"/>
    <n v="27"/>
    <n v="27"/>
    <n v="-6"/>
    <n v="0.92307692307692313"/>
    <n v="0.68875927889713684"/>
    <n v="5.859375E-2"/>
    <n v="587"/>
    <x v="1"/>
  </r>
  <r>
    <s v="ME-0013"/>
    <s v="Ogun Solar Hub"/>
    <x v="8"/>
    <x v="0"/>
    <n v="71"/>
    <n v="88"/>
    <n v="78"/>
    <n v="2400"/>
    <n v="35"/>
    <x v="12"/>
    <n v="2279"/>
    <x v="9"/>
    <n v="4.8"/>
    <n v="7"/>
    <n v="7"/>
    <n v="-10"/>
    <n v="0.88636363636363635"/>
    <n v="0.94958333333333333"/>
    <n v="0.14583333333333334"/>
    <n v="121"/>
    <x v="1"/>
  </r>
  <r>
    <s v="ME-0014"/>
    <s v="Rivers Solar Productive-Use Programme"/>
    <x v="5"/>
    <x v="1"/>
    <n v="66"/>
    <n v="82"/>
    <n v="81"/>
    <n v="271"/>
    <n v="57"/>
    <x v="13"/>
    <n v="249"/>
    <x v="11"/>
    <n v="3.8"/>
    <n v="15"/>
    <n v="15"/>
    <n v="-1"/>
    <n v="0.98780487804878048"/>
    <n v="0.91881918819188191"/>
    <n v="0.26027397260273971"/>
    <n v="22"/>
    <x v="1"/>
  </r>
  <r>
    <s v="ME-0015"/>
    <s v="Ogun Solar Hub"/>
    <x v="11"/>
    <x v="2"/>
    <n v="31"/>
    <n v="77"/>
    <n v="71"/>
    <n v="352"/>
    <n v="9"/>
    <x v="14"/>
    <n v="252"/>
    <x v="12"/>
    <n v="4.3"/>
    <n v="40"/>
    <n v="40"/>
    <n v="-6"/>
    <n v="0.92207792207792205"/>
    <n v="0.71590909090909094"/>
    <n v="5.4216867469879519E-2"/>
    <n v="100"/>
    <x v="1"/>
  </r>
  <r>
    <s v="ME-0016"/>
    <s v="Plateau School Energy Project"/>
    <x v="9"/>
    <x v="0"/>
    <n v="33"/>
    <n v="91"/>
    <n v="89"/>
    <n v="2304"/>
    <n v="46"/>
    <x v="15"/>
    <n v="2274"/>
    <x v="13"/>
    <n v="4.4000000000000004"/>
    <n v="56"/>
    <n v="56"/>
    <n v="-2"/>
    <n v="0.97802197802197799"/>
    <n v="0.98697916666666663"/>
    <n v="0.25136612021857924"/>
    <n v="30"/>
    <x v="1"/>
  </r>
  <r>
    <s v="ME-0017"/>
    <s v="Enugu Clean Energy Project"/>
    <x v="4"/>
    <x v="3"/>
    <n v="48"/>
    <n v="95"/>
    <n v="83"/>
    <n v="1799"/>
    <n v="31"/>
    <x v="16"/>
    <n v="1793"/>
    <x v="14"/>
    <n v="4.9000000000000004"/>
    <n v="35"/>
    <n v="35"/>
    <n v="-12"/>
    <n v="0.87368421052631584"/>
    <n v="0.99666481378543637"/>
    <n v="0.13537117903930132"/>
    <n v="6"/>
    <x v="2"/>
  </r>
  <r>
    <s v="ME-0018"/>
    <s v="Oyo Solar Water Initiative"/>
    <x v="9"/>
    <x v="1"/>
    <n v="67"/>
    <n v="81"/>
    <n v="72"/>
    <n v="1002"/>
    <n v="12"/>
    <x v="17"/>
    <n v="860"/>
    <x v="15"/>
    <n v="4.8"/>
    <n v="5"/>
    <n v="5"/>
    <n v="-9"/>
    <n v="0.88888888888888884"/>
    <n v="0.85828343313373257"/>
    <n v="5.9113300492610835E-2"/>
    <n v="142"/>
    <x v="1"/>
  </r>
  <r>
    <s v="ME-0019"/>
    <s v="Enugu Clean Energy Project"/>
    <x v="11"/>
    <x v="1"/>
    <n v="53"/>
    <n v="91"/>
    <n v="99"/>
    <n v="231"/>
    <n v="8"/>
    <x v="18"/>
    <n v="211"/>
    <x v="16"/>
    <n v="3.2"/>
    <n v="46"/>
    <n v="46"/>
    <n v="8"/>
    <n v="1.0879120879120878"/>
    <n v="0.91341991341991347"/>
    <n v="3.7383177570093455E-2"/>
    <n v="20"/>
    <x v="0"/>
  </r>
  <r>
    <s v="ME-0020"/>
    <s v="Enugu Clean Energy Project"/>
    <x v="0"/>
    <x v="2"/>
    <n v="55"/>
    <n v="84"/>
    <n v="87"/>
    <n v="2289"/>
    <n v="53"/>
    <x v="19"/>
    <n v="2216"/>
    <x v="17"/>
    <n v="4.4000000000000004"/>
    <n v="32"/>
    <n v="32"/>
    <n v="3"/>
    <n v="1.0357142857142858"/>
    <n v="0.96810834425513326"/>
    <n v="0.33333333333333331"/>
    <n v="73"/>
    <x v="0"/>
  </r>
  <r>
    <s v="ME-0021"/>
    <s v="Ogun Solar Hub"/>
    <x v="12"/>
    <x v="4"/>
    <n v="31"/>
    <n v="72"/>
    <n v="59"/>
    <n v="1536"/>
    <n v="65"/>
    <x v="20"/>
    <n v="1365"/>
    <x v="18"/>
    <n v="3.4"/>
    <n v="28"/>
    <n v="28"/>
    <n v="-13"/>
    <n v="0.81944444444444442"/>
    <n v="0.888671875"/>
    <n v="0.20766773162939298"/>
    <n v="171"/>
    <x v="2"/>
  </r>
  <r>
    <s v="ME-0022"/>
    <s v="Enugu Clean Energy Project"/>
    <x v="8"/>
    <x v="2"/>
    <n v="34"/>
    <n v="75"/>
    <n v="52"/>
    <n v="954"/>
    <n v="50"/>
    <x v="21"/>
    <n v="931"/>
    <x v="19"/>
    <n v="4.2"/>
    <n v="18"/>
    <n v="18"/>
    <n v="-23"/>
    <n v="0.69333333333333336"/>
    <n v="0.97589098532494756"/>
    <n v="0.45454545454545453"/>
    <n v="23"/>
    <x v="2"/>
  </r>
  <r>
    <s v="ME-0023"/>
    <s v="Niger Community Power Project"/>
    <x v="8"/>
    <x v="0"/>
    <n v="39"/>
    <n v="94"/>
    <n v="98"/>
    <n v="1993"/>
    <n v="56"/>
    <x v="22"/>
    <n v="1547"/>
    <x v="20"/>
    <n v="4.2"/>
    <n v="59"/>
    <n v="59"/>
    <n v="4"/>
    <n v="1.0425531914893618"/>
    <n v="0.77621675865529349"/>
    <n v="0.16969696969696971"/>
    <n v="446"/>
    <x v="0"/>
  </r>
  <r>
    <s v="ME-0024"/>
    <s v="Plateau School Energy Project"/>
    <x v="3"/>
    <x v="5"/>
    <n v="31"/>
    <n v="70"/>
    <n v="58"/>
    <n v="439"/>
    <n v="63"/>
    <x v="23"/>
    <n v="386"/>
    <x v="21"/>
    <n v="3.4"/>
    <n v="27"/>
    <n v="27"/>
    <n v="-12"/>
    <n v="0.82857142857142863"/>
    <n v="0.87927107061503418"/>
    <n v="0.19325153374233128"/>
    <n v="53"/>
    <x v="2"/>
  </r>
  <r>
    <s v="ME-0025"/>
    <s v="Oyo Solar Water Initiative"/>
    <x v="7"/>
    <x v="2"/>
    <n v="57"/>
    <n v="95"/>
    <n v="84"/>
    <n v="753"/>
    <n v="34"/>
    <x v="24"/>
    <n v="496"/>
    <x v="22"/>
    <n v="3.6"/>
    <n v="27"/>
    <n v="27"/>
    <n v="-11"/>
    <n v="0.88421052631578945"/>
    <n v="0.6586985391766268"/>
    <n v="0.47887323943661969"/>
    <n v="257"/>
    <x v="2"/>
  </r>
  <r>
    <s v="ME-0026"/>
    <s v="Plateau School Energy Project"/>
    <x v="2"/>
    <x v="5"/>
    <n v="71"/>
    <n v="91"/>
    <n v="94"/>
    <n v="1529"/>
    <n v="24"/>
    <x v="25"/>
    <n v="1034"/>
    <x v="23"/>
    <n v="4.5"/>
    <n v="23"/>
    <n v="23"/>
    <n v="3"/>
    <n v="1.0329670329670331"/>
    <n v="0.67625899280575541"/>
    <n v="0.10526315789473684"/>
    <n v="495"/>
    <x v="0"/>
  </r>
  <r>
    <s v="ME-0027"/>
    <s v="Ogun Solar Hub"/>
    <x v="5"/>
    <x v="5"/>
    <n v="55"/>
    <n v="82"/>
    <n v="77"/>
    <n v="669"/>
    <n v="48"/>
    <x v="26"/>
    <n v="567"/>
    <x v="24"/>
    <n v="3.4"/>
    <n v="22"/>
    <n v="22"/>
    <n v="-5"/>
    <n v="0.93902439024390238"/>
    <n v="0.84753363228699552"/>
    <n v="0.1708185053380783"/>
    <n v="102"/>
    <x v="1"/>
  </r>
  <r>
    <s v="ME-0028"/>
    <s v="Rivers Solar Productive-Use Programme"/>
    <x v="3"/>
    <x v="2"/>
    <n v="42"/>
    <n v="86"/>
    <n v="73"/>
    <n v="1348"/>
    <n v="38"/>
    <x v="27"/>
    <n v="932"/>
    <x v="25"/>
    <n v="4.4000000000000004"/>
    <n v="31"/>
    <n v="31"/>
    <n v="-13"/>
    <n v="0.84883720930232553"/>
    <n v="0.6913946587537092"/>
    <n v="0.48101265822784811"/>
    <n v="416"/>
    <x v="2"/>
  </r>
  <r>
    <s v="ME-0029"/>
    <s v="Enugu Clean Energy Project"/>
    <x v="13"/>
    <x v="1"/>
    <n v="34"/>
    <n v="95"/>
    <n v="79"/>
    <n v="1551"/>
    <n v="21"/>
    <x v="7"/>
    <n v="1511"/>
    <x v="26"/>
    <n v="3.6"/>
    <n v="45"/>
    <n v="45"/>
    <n v="-16"/>
    <n v="0.83157894736842108"/>
    <n v="0.97421018697614448"/>
    <n v="7.1917808219178078E-2"/>
    <n v="40"/>
    <x v="2"/>
  </r>
  <r>
    <s v="ME-0030"/>
    <s v="Niger Community Power Project"/>
    <x v="6"/>
    <x v="0"/>
    <n v="72"/>
    <n v="84"/>
    <n v="76"/>
    <n v="1083"/>
    <n v="38"/>
    <x v="28"/>
    <n v="962"/>
    <x v="27"/>
    <n v="3.3"/>
    <n v="4"/>
    <n v="4"/>
    <n v="-8"/>
    <n v="0.90476190476190477"/>
    <n v="0.88827331486611261"/>
    <n v="0.31932773109243695"/>
    <n v="121"/>
    <x v="1"/>
  </r>
  <r>
    <s v="ME-0031"/>
    <s v="Oyo Solar Water Initiative"/>
    <x v="7"/>
    <x v="2"/>
    <n v="46"/>
    <n v="76"/>
    <n v="67"/>
    <n v="879"/>
    <n v="39"/>
    <x v="29"/>
    <n v="734"/>
    <x v="14"/>
    <n v="3.7"/>
    <n v="21"/>
    <n v="21"/>
    <n v="-9"/>
    <n v="0.88157894736842102"/>
    <n v="0.83503981797497151"/>
    <n v="0.24374999999999999"/>
    <n v="145"/>
    <x v="1"/>
  </r>
  <r>
    <s v="ME-0032"/>
    <s v="Kwara SME Solar Programme"/>
    <x v="0"/>
    <x v="0"/>
    <n v="45"/>
    <n v="73"/>
    <n v="66"/>
    <n v="508"/>
    <n v="31"/>
    <x v="11"/>
    <n v="456"/>
    <x v="28"/>
    <n v="3.7"/>
    <n v="21"/>
    <n v="21"/>
    <n v="-7"/>
    <n v="0.90410958904109584"/>
    <n v="0.89763779527559051"/>
    <n v="0.12109375"/>
    <n v="52"/>
    <x v="1"/>
  </r>
  <r>
    <s v="ME-0033"/>
    <s v="Enugu Clean Energy Project"/>
    <x v="10"/>
    <x v="2"/>
    <n v="37"/>
    <n v="76"/>
    <n v="85"/>
    <n v="1561"/>
    <n v="21"/>
    <x v="30"/>
    <n v="1441"/>
    <x v="29"/>
    <n v="4"/>
    <n v="48"/>
    <n v="48"/>
    <n v="9"/>
    <n v="1.118421052631579"/>
    <n v="0.92312620115310695"/>
    <n v="9.7222222222222224E-2"/>
    <n v="120"/>
    <x v="0"/>
  </r>
  <r>
    <s v="ME-0034"/>
    <s v="Niger Community Power Project"/>
    <x v="14"/>
    <x v="2"/>
    <n v="35"/>
    <n v="93"/>
    <n v="100"/>
    <n v="1737"/>
    <n v="7"/>
    <x v="31"/>
    <n v="1685"/>
    <x v="5"/>
    <n v="4.5999999999999996"/>
    <n v="65"/>
    <n v="65"/>
    <n v="7"/>
    <n v="1.075268817204301"/>
    <n v="0.970063327576281"/>
    <n v="6.25E-2"/>
    <n v="52"/>
    <x v="0"/>
  </r>
  <r>
    <s v="ME-0035"/>
    <s v="Oyo Solar Water Initiative"/>
    <x v="12"/>
    <x v="1"/>
    <n v="66"/>
    <n v="79"/>
    <n v="66"/>
    <n v="526"/>
    <n v="70"/>
    <x v="32"/>
    <n v="343"/>
    <x v="30"/>
    <n v="4.8"/>
    <n v="0"/>
    <n v="0"/>
    <n v="-13"/>
    <n v="0.83544303797468356"/>
    <n v="0.65209125475285168"/>
    <n v="0.56000000000000005"/>
    <n v="183"/>
    <x v="2"/>
  </r>
  <r>
    <s v="ME-0036"/>
    <s v="Kwara SME Solar Programme"/>
    <x v="12"/>
    <x v="5"/>
    <n v="48"/>
    <n v="74"/>
    <n v="77"/>
    <n v="805"/>
    <n v="73"/>
    <x v="33"/>
    <n v="789"/>
    <x v="29"/>
    <n v="4.5"/>
    <n v="29"/>
    <n v="29"/>
    <n v="3"/>
    <n v="1.0405405405405406"/>
    <n v="0.98012422360248452"/>
    <n v="0.23548387096774193"/>
    <n v="16"/>
    <x v="0"/>
  </r>
  <r>
    <s v="ME-0037"/>
    <s v="Kaduna Health Power"/>
    <x v="0"/>
    <x v="5"/>
    <n v="41"/>
    <n v="92"/>
    <n v="64"/>
    <n v="2378"/>
    <n v="76"/>
    <x v="34"/>
    <n v="1600"/>
    <x v="31"/>
    <n v="3.9"/>
    <n v="23"/>
    <n v="23"/>
    <n v="-28"/>
    <n v="0.69565217391304346"/>
    <n v="0.67283431455004206"/>
    <n v="0.25503355704697989"/>
    <n v="778"/>
    <x v="2"/>
  </r>
  <r>
    <s v="ME-0038"/>
    <s v="Kwara SME Solar Programme"/>
    <x v="12"/>
    <x v="4"/>
    <n v="57"/>
    <n v="71"/>
    <n v="57"/>
    <n v="2495"/>
    <n v="28"/>
    <x v="35"/>
    <n v="2405"/>
    <x v="32"/>
    <n v="3.9"/>
    <n v="0"/>
    <n v="0"/>
    <n v="-14"/>
    <n v="0.80281690140845074"/>
    <n v="0.96392785571142281"/>
    <n v="0.30107526881720431"/>
    <n v="90"/>
    <x v="2"/>
  </r>
  <r>
    <s v="ME-0039"/>
    <s v="Niger Community Power Project"/>
    <x v="12"/>
    <x v="5"/>
    <n v="43"/>
    <n v="72"/>
    <n v="56"/>
    <n v="2226"/>
    <n v="78"/>
    <x v="36"/>
    <n v="2093"/>
    <x v="18"/>
    <n v="3.7"/>
    <n v="13"/>
    <n v="13"/>
    <n v="-16"/>
    <n v="0.77777777777777779"/>
    <n v="0.94025157232704404"/>
    <n v="2.6"/>
    <n v="133"/>
    <x v="2"/>
  </r>
  <r>
    <s v="ME-0040"/>
    <s v="Ogun Solar Hub"/>
    <x v="10"/>
    <x v="4"/>
    <n v="41"/>
    <n v="94"/>
    <n v="93"/>
    <n v="889"/>
    <n v="57"/>
    <x v="37"/>
    <n v="756"/>
    <x v="33"/>
    <n v="3.2"/>
    <n v="52"/>
    <n v="52"/>
    <n v="-1"/>
    <n v="0.98936170212765961"/>
    <n v="0.85039370078740162"/>
    <n v="0.19587628865979381"/>
    <n v="133"/>
    <x v="1"/>
  </r>
  <r>
    <s v="ME-0041"/>
    <s v="Rivers Solar Productive-Use Programme"/>
    <x v="0"/>
    <x v="5"/>
    <n v="72"/>
    <n v="84"/>
    <n v="88"/>
    <n v="1436"/>
    <n v="7"/>
    <x v="38"/>
    <n v="1206"/>
    <x v="34"/>
    <n v="4.4000000000000004"/>
    <n v="16"/>
    <n v="16"/>
    <n v="4"/>
    <n v="1.0476190476190477"/>
    <n v="0.83983286908077992"/>
    <n v="2.6415094339622643E-2"/>
    <n v="230"/>
    <x v="0"/>
  </r>
  <r>
    <s v="ME-0042"/>
    <s v="Oyo Solar Water Initiative"/>
    <x v="6"/>
    <x v="4"/>
    <n v="69"/>
    <n v="81"/>
    <n v="69"/>
    <n v="220"/>
    <n v="46"/>
    <x v="39"/>
    <n v="160"/>
    <x v="35"/>
    <n v="3.6"/>
    <n v="0"/>
    <n v="0"/>
    <n v="-12"/>
    <n v="0.85185185185185186"/>
    <n v="0.72727272727272729"/>
    <n v="1.2777777777777777"/>
    <n v="60"/>
    <x v="2"/>
  </r>
  <r>
    <s v="ME-0043"/>
    <s v="Oyo Solar Water Initiative"/>
    <x v="13"/>
    <x v="2"/>
    <n v="45"/>
    <n v="73"/>
    <n v="49"/>
    <n v="155"/>
    <n v="33"/>
    <x v="40"/>
    <n v="112"/>
    <x v="36"/>
    <n v="3.3"/>
    <n v="4"/>
    <n v="4"/>
    <n v="-24"/>
    <n v="0.67123287671232879"/>
    <n v="0.72258064516129028"/>
    <n v="0.19411764705882353"/>
    <n v="43"/>
    <x v="2"/>
  </r>
  <r>
    <s v="ME-0044"/>
    <s v="Plateau School Energy Project"/>
    <x v="11"/>
    <x v="2"/>
    <n v="44"/>
    <n v="73"/>
    <n v="62"/>
    <n v="1539"/>
    <n v="22"/>
    <x v="32"/>
    <n v="1112"/>
    <x v="12"/>
    <n v="4.7"/>
    <n v="18"/>
    <n v="18"/>
    <n v="-11"/>
    <n v="0.84931506849315064"/>
    <n v="0.72254710851202075"/>
    <n v="0.17599999999999999"/>
    <n v="427"/>
    <x v="2"/>
  </r>
  <r>
    <s v="ME-0045"/>
    <s v="Kwara SME Solar Programme"/>
    <x v="5"/>
    <x v="5"/>
    <n v="65"/>
    <n v="71"/>
    <n v="83"/>
    <n v="1029"/>
    <n v="33"/>
    <x v="41"/>
    <n v="790"/>
    <x v="37"/>
    <n v="3.6"/>
    <n v="18"/>
    <n v="18"/>
    <n v="12"/>
    <n v="1.1690140845070423"/>
    <n v="0.76773566569484941"/>
    <n v="0.515625"/>
    <n v="239"/>
    <x v="0"/>
  </r>
  <r>
    <s v="ME-0046"/>
    <s v="Rivers Solar Productive-Use Programme"/>
    <x v="9"/>
    <x v="2"/>
    <n v="51"/>
    <n v="89"/>
    <n v="76"/>
    <n v="1470"/>
    <n v="39"/>
    <x v="42"/>
    <n v="1073"/>
    <x v="38"/>
    <n v="3.6"/>
    <n v="25"/>
    <n v="25"/>
    <n v="-13"/>
    <n v="0.8539325842696629"/>
    <n v="0.7299319727891157"/>
    <n v="0.11206896551724138"/>
    <n v="397"/>
    <x v="2"/>
  </r>
  <r>
    <s v="ME-0047"/>
    <s v="Enugu Clean Energy Project"/>
    <x v="12"/>
    <x v="3"/>
    <n v="61"/>
    <n v="73"/>
    <n v="73"/>
    <n v="357"/>
    <n v="61"/>
    <x v="43"/>
    <n v="265"/>
    <x v="39"/>
    <n v="4.9000000000000004"/>
    <n v="12"/>
    <n v="12"/>
    <n v="0"/>
    <n v="1"/>
    <n v="0.74229691876750703"/>
    <n v="0.17784256559766765"/>
    <n v="92"/>
    <x v="0"/>
  </r>
  <r>
    <s v="ME-0048"/>
    <s v="Niger Community Power Project"/>
    <x v="11"/>
    <x v="3"/>
    <n v="71"/>
    <n v="72"/>
    <n v="88"/>
    <n v="1956"/>
    <n v="64"/>
    <x v="44"/>
    <n v="1591"/>
    <x v="40"/>
    <n v="3.9"/>
    <n v="17"/>
    <n v="17"/>
    <n v="16"/>
    <n v="1.2222222222222223"/>
    <n v="0.81339468302658491"/>
    <n v="0.56140350877192979"/>
    <n v="365"/>
    <x v="0"/>
  </r>
  <r>
    <s v="ME-0049"/>
    <s v="Edo Community Mini-grid"/>
    <x v="0"/>
    <x v="1"/>
    <n v="53"/>
    <n v="86"/>
    <n v="100"/>
    <n v="324"/>
    <n v="34"/>
    <x v="45"/>
    <n v="242"/>
    <x v="41"/>
    <n v="3.4"/>
    <n v="47"/>
    <n v="47"/>
    <n v="14"/>
    <n v="1.1627906976744187"/>
    <n v="0.74691358024691357"/>
    <n v="0.26984126984126983"/>
    <n v="82"/>
    <x v="0"/>
  </r>
  <r>
    <s v="ME-0050"/>
    <s v="Niger Community Power Project"/>
    <x v="6"/>
    <x v="1"/>
    <n v="41"/>
    <n v="86"/>
    <n v="82"/>
    <n v="1451"/>
    <n v="68"/>
    <x v="46"/>
    <n v="1049"/>
    <x v="42"/>
    <n v="3.6"/>
    <n v="41"/>
    <n v="41"/>
    <n v="-4"/>
    <n v="0.95348837209302328"/>
    <n v="0.72294968986905583"/>
    <n v="1.0303030303030303"/>
    <n v="402"/>
    <x v="1"/>
  </r>
  <r>
    <s v="ME-0051"/>
    <s v="Oyo Solar Water Initiative"/>
    <x v="0"/>
    <x v="3"/>
    <n v="48"/>
    <n v="95"/>
    <n v="85"/>
    <n v="91"/>
    <n v="70"/>
    <x v="47"/>
    <n v="78"/>
    <x v="43"/>
    <n v="4.4000000000000004"/>
    <n v="37"/>
    <n v="37"/>
    <n v="-10"/>
    <n v="0.89473684210526316"/>
    <n v="0.8571428571428571"/>
    <n v="0.23178807947019867"/>
    <n v="13"/>
    <x v="1"/>
  </r>
  <r>
    <s v="ME-0052"/>
    <s v="Rivers Solar Productive-Use Programme"/>
    <x v="9"/>
    <x v="4"/>
    <n v="67"/>
    <n v="94"/>
    <n v="87"/>
    <n v="1199"/>
    <n v="13"/>
    <x v="48"/>
    <n v="877"/>
    <x v="44"/>
    <n v="4.5"/>
    <n v="20"/>
    <n v="20"/>
    <n v="-7"/>
    <n v="0.92553191489361697"/>
    <n v="0.73144286905754796"/>
    <n v="4.1009463722397478E-2"/>
    <n v="322"/>
    <x v="1"/>
  </r>
  <r>
    <s v="ME-0053"/>
    <s v="Plateau School Energy Project"/>
    <x v="7"/>
    <x v="4"/>
    <n v="51"/>
    <n v="94"/>
    <n v="81"/>
    <n v="1577"/>
    <n v="69"/>
    <x v="49"/>
    <n v="1208"/>
    <x v="45"/>
    <n v="3.2"/>
    <n v="30"/>
    <n v="30"/>
    <n v="-13"/>
    <n v="0.86170212765957444"/>
    <n v="0.76601141407736206"/>
    <n v="2.225806451612903"/>
    <n v="369"/>
    <x v="2"/>
  </r>
  <r>
    <s v="ME-0054"/>
    <s v="Enugu Clean Energy Project"/>
    <x v="9"/>
    <x v="1"/>
    <n v="68"/>
    <n v="71"/>
    <n v="79"/>
    <n v="400"/>
    <n v="54"/>
    <x v="50"/>
    <n v="361"/>
    <x v="4"/>
    <n v="4.3"/>
    <n v="11"/>
    <n v="11"/>
    <n v="8"/>
    <n v="1.1126760563380282"/>
    <n v="0.90249999999999997"/>
    <n v="0.3776223776223776"/>
    <n v="39"/>
    <x v="0"/>
  </r>
  <r>
    <s v="ME-0055"/>
    <s v="Enugu Clean Energy Project"/>
    <x v="10"/>
    <x v="4"/>
    <n v="58"/>
    <n v="84"/>
    <n v="81"/>
    <n v="2252"/>
    <n v="27"/>
    <x v="51"/>
    <n v="1534"/>
    <x v="46"/>
    <n v="3.8"/>
    <n v="23"/>
    <n v="23"/>
    <n v="-3"/>
    <n v="0.9642857142857143"/>
    <n v="0.68117229129662527"/>
    <n v="0.20930232558139536"/>
    <n v="718"/>
    <x v="1"/>
  </r>
  <r>
    <s v="ME-0056"/>
    <s v="Rivers Solar Productive-Use Programme"/>
    <x v="9"/>
    <x v="4"/>
    <n v="74"/>
    <n v="73"/>
    <n v="78"/>
    <n v="2333"/>
    <n v="64"/>
    <x v="52"/>
    <n v="1767"/>
    <x v="9"/>
    <n v="4.2"/>
    <n v="4"/>
    <n v="4"/>
    <n v="5"/>
    <n v="1.0684931506849316"/>
    <n v="0.75739391341620232"/>
    <n v="0.2711864406779661"/>
    <n v="566"/>
    <x v="0"/>
  </r>
  <r>
    <s v="ME-0057"/>
    <s v="Rivers Solar Productive-Use Programme"/>
    <x v="4"/>
    <x v="0"/>
    <n v="61"/>
    <n v="82"/>
    <n v="69"/>
    <n v="1858"/>
    <n v="73"/>
    <x v="53"/>
    <n v="1569"/>
    <x v="47"/>
    <n v="3.4"/>
    <n v="8"/>
    <n v="8"/>
    <n v="-13"/>
    <n v="0.84146341463414631"/>
    <n v="0.84445640473627559"/>
    <n v="0.68867924528301883"/>
    <n v="289"/>
    <x v="2"/>
  </r>
  <r>
    <s v="ME-0058"/>
    <s v="Ogun Solar Hub"/>
    <x v="5"/>
    <x v="5"/>
    <n v="73"/>
    <n v="71"/>
    <n v="73"/>
    <n v="2236"/>
    <n v="30"/>
    <x v="54"/>
    <n v="1678"/>
    <x v="12"/>
    <n v="4.7"/>
    <n v="0"/>
    <n v="0"/>
    <n v="2"/>
    <n v="1.028169014084507"/>
    <n v="0.75044722719141321"/>
    <n v="0.24390243902439024"/>
    <n v="558"/>
    <x v="0"/>
  </r>
  <r>
    <s v="ME-0059"/>
    <s v="Plateau School Energy Project"/>
    <x v="2"/>
    <x v="0"/>
    <n v="57"/>
    <n v="88"/>
    <n v="97"/>
    <n v="2065"/>
    <n v="48"/>
    <x v="55"/>
    <n v="1623"/>
    <x v="48"/>
    <n v="3.4"/>
    <n v="40"/>
    <n v="40"/>
    <n v="9"/>
    <n v="1.1022727272727273"/>
    <n v="0.78595641646489101"/>
    <n v="0.13953488372093023"/>
    <n v="442"/>
    <x v="0"/>
  </r>
  <r>
    <s v="ME-0060"/>
    <s v="Kwara SME Solar Programme"/>
    <x v="4"/>
    <x v="3"/>
    <n v="61"/>
    <n v="80"/>
    <n v="78"/>
    <n v="2038"/>
    <n v="57"/>
    <x v="56"/>
    <n v="1947"/>
    <x v="49"/>
    <n v="4.2"/>
    <n v="17"/>
    <n v="17"/>
    <n v="-2"/>
    <n v="0.97499999999999998"/>
    <n v="0.95534838076545636"/>
    <n v="0.78082191780821919"/>
    <n v="91"/>
    <x v="1"/>
  </r>
  <r>
    <s v="ME-0061"/>
    <s v="Ogun Solar Hub"/>
    <x v="1"/>
    <x v="1"/>
    <n v="30"/>
    <n v="86"/>
    <n v="93"/>
    <n v="87"/>
    <n v="32"/>
    <x v="0"/>
    <n v="60"/>
    <x v="50"/>
    <n v="3.4"/>
    <n v="63"/>
    <n v="63"/>
    <n v="7"/>
    <n v="1.0813953488372092"/>
    <n v="0.68965517241379315"/>
    <n v="0.24427480916030533"/>
    <n v="27"/>
    <x v="0"/>
  </r>
  <r>
    <s v="ME-0062"/>
    <s v="Kwara SME Solar Programme"/>
    <x v="9"/>
    <x v="2"/>
    <n v="38"/>
    <n v="76"/>
    <n v="71"/>
    <n v="1875"/>
    <n v="22"/>
    <x v="57"/>
    <n v="1279"/>
    <x v="51"/>
    <n v="4.3"/>
    <n v="33"/>
    <n v="33"/>
    <n v="-5"/>
    <n v="0.93421052631578949"/>
    <n v="0.68213333333333337"/>
    <n v="0.18181818181818182"/>
    <n v="596"/>
    <x v="1"/>
  </r>
  <r>
    <s v="ME-0063"/>
    <s v="Enugu Clean Energy Project"/>
    <x v="0"/>
    <x v="4"/>
    <n v="74"/>
    <n v="91"/>
    <n v="79"/>
    <n v="937"/>
    <n v="29"/>
    <x v="58"/>
    <n v="700"/>
    <x v="52"/>
    <n v="4.3"/>
    <n v="5"/>
    <n v="5"/>
    <n v="-12"/>
    <n v="0.86813186813186816"/>
    <n v="0.74706510138740667"/>
    <n v="9.1194968553459113E-2"/>
    <n v="237"/>
    <x v="2"/>
  </r>
  <r>
    <s v="ME-0064"/>
    <s v="Niger Community Power Project"/>
    <x v="0"/>
    <x v="0"/>
    <n v="44"/>
    <n v="92"/>
    <n v="80"/>
    <n v="1882"/>
    <n v="29"/>
    <x v="59"/>
    <n v="1763"/>
    <x v="53"/>
    <n v="4"/>
    <n v="36"/>
    <n v="36"/>
    <n v="-12"/>
    <n v="0.86956521739130432"/>
    <n v="0.93676939426142403"/>
    <n v="0.47540983606557374"/>
    <n v="119"/>
    <x v="2"/>
  </r>
  <r>
    <s v="ME-0065"/>
    <s v="Rivers Solar Productive-Use Programme"/>
    <x v="9"/>
    <x v="4"/>
    <n v="67"/>
    <n v="86"/>
    <n v="90"/>
    <n v="1335"/>
    <n v="75"/>
    <x v="24"/>
    <n v="1208"/>
    <x v="2"/>
    <n v="4.3"/>
    <n v="23"/>
    <n v="23"/>
    <n v="4"/>
    <n v="1.0465116279069768"/>
    <n v="0.90486891385767787"/>
    <n v="1.056338028169014"/>
    <n v="127"/>
    <x v="0"/>
  </r>
  <r>
    <s v="ME-0066"/>
    <s v="Kwara SME Solar Programme"/>
    <x v="0"/>
    <x v="5"/>
    <n v="55"/>
    <n v="75"/>
    <n v="73"/>
    <n v="1981"/>
    <n v="15"/>
    <x v="60"/>
    <n v="1919"/>
    <x v="54"/>
    <n v="3.7"/>
    <n v="18"/>
    <n v="18"/>
    <n v="-2"/>
    <n v="0.97333333333333338"/>
    <n v="0.96870267541645638"/>
    <n v="0.21428571428571427"/>
    <n v="62"/>
    <x v="1"/>
  </r>
  <r>
    <s v="ME-0067"/>
    <s v="Enugu Clean Energy Project"/>
    <x v="12"/>
    <x v="2"/>
    <n v="33"/>
    <n v="80"/>
    <n v="78"/>
    <n v="1737"/>
    <n v="14"/>
    <x v="61"/>
    <n v="1609"/>
    <x v="35"/>
    <n v="4.2"/>
    <n v="45"/>
    <n v="45"/>
    <n v="-2"/>
    <n v="0.97499999999999998"/>
    <n v="0.92630972941853773"/>
    <n v="5.9829059829059832E-2"/>
    <n v="128"/>
    <x v="1"/>
  </r>
  <r>
    <s v="ME-0068"/>
    <s v="Enugu Clean Energy Project"/>
    <x v="12"/>
    <x v="1"/>
    <n v="58"/>
    <n v="88"/>
    <n v="88"/>
    <n v="2461"/>
    <n v="38"/>
    <x v="62"/>
    <n v="2029"/>
    <x v="55"/>
    <n v="3.4"/>
    <n v="30"/>
    <n v="30"/>
    <n v="0"/>
    <n v="1"/>
    <n v="0.82446160097521337"/>
    <n v="0.12459016393442623"/>
    <n v="432"/>
    <x v="0"/>
  </r>
  <r>
    <s v="ME-0069"/>
    <s v="Kwara SME Solar Programme"/>
    <x v="7"/>
    <x v="2"/>
    <n v="44"/>
    <n v="83"/>
    <n v="76"/>
    <n v="586"/>
    <n v="50"/>
    <x v="63"/>
    <n v="471"/>
    <x v="56"/>
    <n v="3.3"/>
    <n v="32"/>
    <n v="32"/>
    <n v="-7"/>
    <n v="0.91566265060240959"/>
    <n v="0.80375426621160406"/>
    <n v="0.25"/>
    <n v="115"/>
    <x v="1"/>
  </r>
  <r>
    <s v="ME-0070"/>
    <s v="Niger Community Power Project"/>
    <x v="13"/>
    <x v="5"/>
    <n v="36"/>
    <n v="91"/>
    <n v="96"/>
    <n v="1952"/>
    <n v="44"/>
    <x v="64"/>
    <n v="1594"/>
    <x v="46"/>
    <n v="4.2"/>
    <n v="60"/>
    <n v="60"/>
    <n v="5"/>
    <n v="1.054945054945055"/>
    <n v="0.81659836065573765"/>
    <n v="0.12607449856733524"/>
    <n v="358"/>
    <x v="0"/>
  </r>
  <r>
    <s v="ME-0071"/>
    <s v="Rivers Solar Productive-Use Programme"/>
    <x v="9"/>
    <x v="0"/>
    <n v="62"/>
    <n v="70"/>
    <n v="70"/>
    <n v="1619"/>
    <n v="20"/>
    <x v="65"/>
    <n v="1170"/>
    <x v="57"/>
    <n v="4.0999999999999996"/>
    <n v="8"/>
    <n v="8"/>
    <n v="0"/>
    <n v="1"/>
    <n v="0.72266831377393448"/>
    <n v="0.13245033112582782"/>
    <n v="449"/>
    <x v="0"/>
  </r>
  <r>
    <s v="ME-0072"/>
    <s v="Edo Community Mini-grid"/>
    <x v="7"/>
    <x v="5"/>
    <n v="64"/>
    <n v="77"/>
    <n v="64"/>
    <n v="999"/>
    <n v="39"/>
    <x v="66"/>
    <n v="677"/>
    <x v="58"/>
    <n v="4.7"/>
    <n v="0"/>
    <n v="0"/>
    <n v="-13"/>
    <n v="0.83116883116883122"/>
    <n v="0.67767767767767773"/>
    <n v="0.14828897338403041"/>
    <n v="322"/>
    <x v="2"/>
  </r>
  <r>
    <s v="ME-0073"/>
    <s v="Edo Community Mini-grid"/>
    <x v="0"/>
    <x v="3"/>
    <n v="58"/>
    <n v="85"/>
    <n v="91"/>
    <n v="2387"/>
    <n v="40"/>
    <x v="39"/>
    <n v="1989"/>
    <x v="59"/>
    <n v="4"/>
    <n v="33"/>
    <n v="33"/>
    <n v="6"/>
    <n v="1.0705882352941176"/>
    <n v="0.83326351068286553"/>
    <n v="1.1111111111111112"/>
    <n v="398"/>
    <x v="0"/>
  </r>
  <r>
    <s v="ME-0074"/>
    <s v="Enugu Clean Energy Project"/>
    <x v="14"/>
    <x v="3"/>
    <n v="59"/>
    <n v="91"/>
    <n v="88"/>
    <n v="1169"/>
    <n v="15"/>
    <x v="4"/>
    <n v="907"/>
    <x v="60"/>
    <n v="3.5"/>
    <n v="29"/>
    <n v="29"/>
    <n v="-3"/>
    <n v="0.96703296703296704"/>
    <n v="0.77587681779298545"/>
    <n v="6.2240663900414939E-2"/>
    <n v="262"/>
    <x v="1"/>
  </r>
  <r>
    <s v="ME-0075"/>
    <s v="Ogun Solar Hub"/>
    <x v="13"/>
    <x v="1"/>
    <n v="52"/>
    <n v="95"/>
    <n v="96"/>
    <n v="1815"/>
    <n v="27"/>
    <x v="67"/>
    <n v="1478"/>
    <x v="61"/>
    <n v="4.9000000000000004"/>
    <n v="44"/>
    <n v="44"/>
    <n v="1"/>
    <n v="1.0105263157894737"/>
    <n v="0.81432506887052336"/>
    <n v="0.25714285714285712"/>
    <n v="337"/>
    <x v="0"/>
  </r>
  <r>
    <s v="ME-0076"/>
    <s v="Enugu Clean Energy Project"/>
    <x v="2"/>
    <x v="1"/>
    <n v="39"/>
    <n v="74"/>
    <n v="61"/>
    <n v="1627"/>
    <n v="30"/>
    <x v="38"/>
    <n v="1106"/>
    <x v="62"/>
    <n v="3.7"/>
    <n v="22"/>
    <n v="22"/>
    <n v="-13"/>
    <n v="0.82432432432432434"/>
    <n v="0.67977873386601106"/>
    <n v="0.11320754716981132"/>
    <n v="521"/>
    <x v="2"/>
  </r>
  <r>
    <s v="ME-0077"/>
    <s v="Plateau School Energy Project"/>
    <x v="9"/>
    <x v="1"/>
    <n v="68"/>
    <n v="90"/>
    <n v="84"/>
    <n v="501"/>
    <n v="40"/>
    <x v="68"/>
    <n v="403"/>
    <x v="63"/>
    <n v="4.5999999999999996"/>
    <n v="16"/>
    <n v="16"/>
    <n v="-6"/>
    <n v="0.93333333333333335"/>
    <n v="0.80439121756487031"/>
    <n v="0.1951219512195122"/>
    <n v="98"/>
    <x v="1"/>
  </r>
  <r>
    <s v="ME-0078"/>
    <s v="Kwara SME Solar Programme"/>
    <x v="10"/>
    <x v="0"/>
    <n v="33"/>
    <n v="86"/>
    <n v="68"/>
    <n v="1201"/>
    <n v="25"/>
    <x v="69"/>
    <n v="1173"/>
    <x v="45"/>
    <n v="4"/>
    <n v="35"/>
    <n v="35"/>
    <n v="-18"/>
    <n v="0.79069767441860461"/>
    <n v="0.97668609492089931"/>
    <n v="0.13089005235602094"/>
    <n v="28"/>
    <x v="2"/>
  </r>
  <r>
    <s v="ME-0079"/>
    <s v="Plateau School Energy Project"/>
    <x v="6"/>
    <x v="0"/>
    <n v="43"/>
    <n v="76"/>
    <n v="58"/>
    <n v="1734"/>
    <n v="52"/>
    <x v="70"/>
    <n v="1139"/>
    <x v="64"/>
    <n v="4.5999999999999996"/>
    <n v="15"/>
    <n v="15"/>
    <n v="-18"/>
    <n v="0.76315789473684215"/>
    <n v="0.65686274509803921"/>
    <n v="0.18309859154929578"/>
    <n v="595"/>
    <x v="2"/>
  </r>
  <r>
    <s v="ME-0080"/>
    <s v="Plateau School Energy Project"/>
    <x v="1"/>
    <x v="1"/>
    <n v="61"/>
    <n v="79"/>
    <n v="80"/>
    <n v="969"/>
    <n v="18"/>
    <x v="71"/>
    <n v="685"/>
    <x v="65"/>
    <n v="3.5"/>
    <n v="19"/>
    <n v="19"/>
    <n v="1"/>
    <n v="1.0126582278481013"/>
    <n v="0.7069143446852425"/>
    <n v="0.12676056338028169"/>
    <n v="28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04BEE-CD11-404A-AF3E-F2D54A2A9C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6:R23" firstHeaderRow="0" firstDataRow="1" firstDataCol="1"/>
  <pivotFields count="21">
    <pivotField showAll="0"/>
    <pivotField showAll="0"/>
    <pivotField showAll="0"/>
    <pivotField axis="axisRow" showAll="0">
      <items count="7">
        <item x="2"/>
        <item x="4"/>
        <item x="3"/>
        <item x="1"/>
        <item x="5"/>
        <item x="0"/>
        <item t="default"/>
      </items>
    </pivotField>
    <pivotField showAll="0"/>
    <pivotField showAll="0"/>
    <pivotField showAll="0"/>
    <pivotField showAll="0"/>
    <pivotField showAll="0"/>
    <pivotField showAll="0"/>
    <pivotField showAll="0"/>
    <pivotField dataField="1" numFmtId="10" showAll="0"/>
    <pivotField dataField="1" showAll="0"/>
    <pivotField showAll="0"/>
    <pivotField showAll="0"/>
    <pivotField showAll="0"/>
    <pivotField dataField="1" numFmtId="10" showAll="0"/>
    <pivotField dataField="1" numFmtId="10" showAll="0"/>
    <pivotField numFmtId="10" showAll="0"/>
    <pivotField numFmtId="1" showAll="0"/>
    <pivotField showAll="0"/>
  </pivotFields>
  <rowFields count="1">
    <field x="3"/>
  </rowFields>
  <rowItems count="7">
    <i>
      <x/>
    </i>
    <i>
      <x v="1"/>
    </i>
    <i>
      <x v="2"/>
    </i>
    <i>
      <x v="3"/>
    </i>
    <i>
      <x v="4"/>
    </i>
    <i>
      <x v="5"/>
    </i>
    <i t="grand">
      <x/>
    </i>
  </rowItems>
  <colFields count="1">
    <field x="-2"/>
  </colFields>
  <colItems count="4">
    <i>
      <x/>
    </i>
    <i i="1">
      <x v="1"/>
    </i>
    <i i="2">
      <x v="2"/>
    </i>
    <i i="3">
      <x v="3"/>
    </i>
  </colItems>
  <dataFields count="4">
    <dataField name="Average of Target_Achievement_Rate" fld="16" subtotal="average" baseField="3" baseItem="3" numFmtId="10"/>
    <dataField name="Average of Clean_Energy _Access_Rate" fld="17" subtotal="average" baseField="3" baseItem="0" numFmtId="10"/>
    <dataField name="Average of System_Uptime_%" fld="11" subtotal="average" baseField="3" baseItem="2" numFmtId="10"/>
    <dataField name="Average of Community_Satisfaction" fld="12" subtotal="average" baseField="3" baseItem="4" numFmtId="2"/>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E5FF6-DB32-450C-922A-67C11D6D44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4:O11" firstHeaderRow="1" firstDataRow="1" firstDataCol="1"/>
  <pivotFields count="21">
    <pivotField showAll="0"/>
    <pivotField showAll="0"/>
    <pivotField showAll="0"/>
    <pivotField axis="axisRow" showAll="0" sortType="descending">
      <items count="7">
        <item x="2"/>
        <item x="4"/>
        <item x="3"/>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 numFmtId="10" showAll="0"/>
    <pivotField numFmtId="1" showAll="0"/>
    <pivotField dataField="1" showAll="0"/>
  </pivotFields>
  <rowFields count="1">
    <field x="3"/>
  </rowFields>
  <rowItems count="7">
    <i>
      <x/>
    </i>
    <i>
      <x v="3"/>
    </i>
    <i>
      <x v="5"/>
    </i>
    <i>
      <x v="4"/>
    </i>
    <i>
      <x v="1"/>
    </i>
    <i>
      <x v="2"/>
    </i>
    <i t="grand">
      <x/>
    </i>
  </rowItems>
  <colItems count="1">
    <i/>
  </colItems>
  <dataFields count="1">
    <dataField name="Count of Performance Status" fld="2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3FF9A3-4792-46B9-9A1B-B7B453C9DB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28:O35" firstHeaderRow="1" firstDataRow="1" firstDataCol="1"/>
  <pivotFields count="21">
    <pivotField showAll="0"/>
    <pivotField showAll="0"/>
    <pivotField showAll="0"/>
    <pivotField axis="axisRow" showAll="0">
      <items count="7">
        <item x="2"/>
        <item x="4"/>
        <item x="3"/>
        <item x="1"/>
        <item x="5"/>
        <item x="0"/>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 dataField="1" numFmtId="10" showAll="0"/>
    <pivotField numFmtId="1" showAll="0"/>
    <pivotField showAll="0"/>
  </pivotFields>
  <rowFields count="1">
    <field x="3"/>
  </rowFields>
  <rowItems count="7">
    <i>
      <x/>
    </i>
    <i>
      <x v="1"/>
    </i>
    <i>
      <x v="2"/>
    </i>
    <i>
      <x v="3"/>
    </i>
    <i>
      <x v="4"/>
    </i>
    <i>
      <x v="5"/>
    </i>
    <i t="grand">
      <x/>
    </i>
  </rowItems>
  <colItems count="1">
    <i/>
  </colItems>
  <dataFields count="1">
    <dataField name="Average of Training-to-Employment_Rate" fld="18" subtotal="average" baseField="3"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247B5-4DCA-4B1A-A712-8CCBD0E4D5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4:I9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axis="axisRow" numFmtId="10" showAll="0">
      <items count="67">
        <item x="13"/>
        <item x="54"/>
        <item x="53"/>
        <item x="63"/>
        <item x="16"/>
        <item x="57"/>
        <item x="39"/>
        <item x="32"/>
        <item x="20"/>
        <item x="28"/>
        <item x="55"/>
        <item x="41"/>
        <item x="15"/>
        <item x="24"/>
        <item x="65"/>
        <item x="8"/>
        <item x="11"/>
        <item x="7"/>
        <item x="48"/>
        <item x="5"/>
        <item x="34"/>
        <item x="12"/>
        <item x="60"/>
        <item x="17"/>
        <item x="35"/>
        <item x="59"/>
        <item x="47"/>
        <item x="2"/>
        <item x="33"/>
        <item x="29"/>
        <item x="38"/>
        <item x="61"/>
        <item x="45"/>
        <item x="3"/>
        <item x="4"/>
        <item x="6"/>
        <item x="22"/>
        <item x="21"/>
        <item x="14"/>
        <item x="58"/>
        <item x="46"/>
        <item x="43"/>
        <item x="10"/>
        <item x="40"/>
        <item x="44"/>
        <item x="50"/>
        <item x="56"/>
        <item x="36"/>
        <item x="42"/>
        <item x="52"/>
        <item x="1"/>
        <item x="51"/>
        <item x="37"/>
        <item x="62"/>
        <item x="64"/>
        <item x="19"/>
        <item x="9"/>
        <item x="26"/>
        <item x="0"/>
        <item x="31"/>
        <item x="23"/>
        <item x="25"/>
        <item x="27"/>
        <item x="18"/>
        <item x="30"/>
        <item x="49"/>
        <item t="default"/>
      </items>
    </pivotField>
    <pivotField dataField="1" showAll="0"/>
    <pivotField showAll="0"/>
    <pivotField showAll="0"/>
    <pivotField showAll="0"/>
    <pivotField numFmtId="10" showAll="0"/>
    <pivotField numFmtId="10" showAll="0"/>
    <pivotField numFmtId="10" showAll="0"/>
    <pivotField numFmtId="1" showAll="0"/>
    <pivotField showAll="0"/>
  </pivotFields>
  <rowFields count="1">
    <field x="1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Sum of Community_Satisfaction"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0F78AA-B0DC-474A-8936-1036086B09E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28:U36" firstHeaderRow="0" firstDataRow="1" firstDataCol="1"/>
  <pivotFields count="21">
    <pivotField showAll="0"/>
    <pivotField showAll="0"/>
    <pivotField axis="axisRow" showAll="0" measureFilter="1">
      <items count="16">
        <item x="7"/>
        <item x="0"/>
        <item x="6"/>
        <item x="5"/>
        <item x="1"/>
        <item x="3"/>
        <item x="4"/>
        <item x="8"/>
        <item x="9"/>
        <item x="2"/>
        <item x="13"/>
        <item x="10"/>
        <item x="11"/>
        <item x="12"/>
        <item x="14"/>
        <item t="default"/>
      </items>
    </pivotField>
    <pivotField showAll="0">
      <items count="7">
        <item x="2"/>
        <item x="4"/>
        <item x="3"/>
        <item x="1"/>
        <item x="5"/>
        <item x="0"/>
        <item t="default"/>
      </items>
    </pivotField>
    <pivotField showAll="0"/>
    <pivotField showAll="0"/>
    <pivotField showAll="0"/>
    <pivotField showAll="0"/>
    <pivotField showAll="0"/>
    <pivotField showAll="0"/>
    <pivotField showAll="0"/>
    <pivotField dataField="1" numFmtId="10" showAll="0"/>
    <pivotField showAll="0"/>
    <pivotField showAll="0"/>
    <pivotField showAll="0"/>
    <pivotField showAll="0"/>
    <pivotField dataField="1" numFmtId="10" showAll="0"/>
    <pivotField dataField="1" numFmtId="10" showAll="0"/>
    <pivotField numFmtId="10" showAll="0"/>
    <pivotField numFmtId="1" showAll="0"/>
    <pivotField showAll="0">
      <items count="4">
        <item x="0"/>
        <item x="1"/>
        <item x="2"/>
        <item t="default"/>
      </items>
    </pivotField>
  </pivotFields>
  <rowFields count="1">
    <field x="2"/>
  </rowFields>
  <rowItems count="8">
    <i>
      <x v="1"/>
    </i>
    <i>
      <x v="3"/>
    </i>
    <i>
      <x v="4"/>
    </i>
    <i>
      <x v="5"/>
    </i>
    <i>
      <x v="8"/>
    </i>
    <i>
      <x v="12"/>
    </i>
    <i>
      <x v="14"/>
    </i>
    <i t="grand">
      <x/>
    </i>
  </rowItems>
  <colFields count="1">
    <field x="-2"/>
  </colFields>
  <colItems count="3">
    <i>
      <x/>
    </i>
    <i i="1">
      <x v="1"/>
    </i>
    <i i="2">
      <x v="2"/>
    </i>
  </colItems>
  <dataFields count="3">
    <dataField name="Average of Target_Achievement_Rate" fld="16" subtotal="average" baseField="3" baseItem="3" numFmtId="10"/>
    <dataField name="Average of Clean_Energy _Access_Rate" fld="17" subtotal="average" baseField="3" baseItem="0" numFmtId="10"/>
    <dataField name="Average of System_Uptime_%" fld="11" subtotal="average" baseField="3" baseItem="2" numFmtId="10"/>
  </dataFields>
  <formats count="3">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91AF4-1E1F-4996-9A47-3E376F949A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J10" firstHeaderRow="0" firstDataRow="1" firstDataCol="1"/>
  <pivotFields count="21">
    <pivotField showAll="0"/>
    <pivotField showAll="0"/>
    <pivotField axis="axisRow" showAll="0" measureFilter="1" sortType="descending">
      <items count="16">
        <item x="7"/>
        <item x="0"/>
        <item x="6"/>
        <item x="5"/>
        <item x="1"/>
        <item x="3"/>
        <item x="4"/>
        <item x="8"/>
        <item x="9"/>
        <item x="2"/>
        <item x="13"/>
        <item x="10"/>
        <item x="11"/>
        <item x="12"/>
        <item x="1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dataField="1" showAll="0"/>
    <pivotField numFmtId="10" showAll="0"/>
    <pivotField showAll="0"/>
    <pivotField showAll="0"/>
    <pivotField showAll="0"/>
    <pivotField showAll="0"/>
    <pivotField numFmtId="10" showAll="0"/>
    <pivotField numFmtId="10" showAll="0"/>
    <pivotField numFmtId="10" showAll="0"/>
    <pivotField numFmtId="1" showAll="0"/>
    <pivotField showAll="0"/>
  </pivotFields>
  <rowFields count="1">
    <field x="2"/>
  </rowFields>
  <rowItems count="7">
    <i>
      <x v="1"/>
    </i>
    <i>
      <x v="8"/>
    </i>
    <i>
      <x v="13"/>
    </i>
    <i>
      <x v="6"/>
    </i>
    <i>
      <x v="11"/>
    </i>
    <i>
      <x v="9"/>
    </i>
    <i t="grand">
      <x/>
    </i>
  </rowItems>
  <colFields count="1">
    <field x="-2"/>
  </colFields>
  <colItems count="2">
    <i>
      <x/>
    </i>
    <i i="1">
      <x v="1"/>
    </i>
  </colItems>
  <dataFields count="2">
    <dataField name="Sum of Beneficiaries" fld="7" baseField="0" baseItem="0" numFmtId="164"/>
    <dataField name="Sum of People_Gaining_Clean_Energy_Access" fld="10" baseField="0" baseItem="0" numFmtId="164"/>
  </dataFields>
  <formats count="2">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360C14-DEDB-4052-96D7-44FFD587FA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97" firstHeaderRow="1" firstDataRow="1" firstDataCol="1"/>
  <pivotFields count="21">
    <pivotField showAll="0"/>
    <pivotField showAll="0"/>
    <pivotField showAll="0"/>
    <pivotField showAll="0"/>
    <pivotField showAll="0"/>
    <pivotField showAll="0"/>
    <pivotField showAll="0"/>
    <pivotField showAll="0"/>
    <pivotField dataField="1" showAll="0"/>
    <pivotField axis="axisRow" showAll="0">
      <items count="73">
        <item x="36"/>
        <item x="49"/>
        <item x="39"/>
        <item x="1"/>
        <item x="2"/>
        <item x="59"/>
        <item x="41"/>
        <item x="46"/>
        <item x="60"/>
        <item x="24"/>
        <item x="56"/>
        <item x="27"/>
        <item x="35"/>
        <item x="3"/>
        <item x="67"/>
        <item x="53"/>
        <item x="21"/>
        <item x="31"/>
        <item x="44"/>
        <item x="28"/>
        <item x="57"/>
        <item x="54"/>
        <item x="32"/>
        <item x="45"/>
        <item x="51"/>
        <item x="0"/>
        <item x="71"/>
        <item x="50"/>
        <item x="65"/>
        <item x="19"/>
        <item x="29"/>
        <item x="14"/>
        <item x="40"/>
        <item x="15"/>
        <item x="9"/>
        <item x="69"/>
        <item x="63"/>
        <item x="17"/>
        <item x="5"/>
        <item x="68"/>
        <item x="8"/>
        <item x="18"/>
        <item x="30"/>
        <item x="13"/>
        <item x="25"/>
        <item x="16"/>
        <item x="61"/>
        <item x="52"/>
        <item x="12"/>
        <item x="4"/>
        <item x="11"/>
        <item x="66"/>
        <item x="38"/>
        <item x="6"/>
        <item x="26"/>
        <item x="70"/>
        <item x="37"/>
        <item x="7"/>
        <item x="34"/>
        <item x="47"/>
        <item x="62"/>
        <item x="33"/>
        <item x="20"/>
        <item x="48"/>
        <item x="58"/>
        <item x="23"/>
        <item x="22"/>
        <item x="10"/>
        <item x="43"/>
        <item x="55"/>
        <item x="42"/>
        <item x="64"/>
        <item t="default"/>
      </items>
    </pivotField>
    <pivotField showAll="0"/>
    <pivotField numFmtId="10" showAll="0"/>
    <pivotField showAll="0"/>
    <pivotField showAll="0"/>
    <pivotField showAll="0"/>
    <pivotField showAll="0"/>
    <pivotField numFmtId="10" showAll="0"/>
    <pivotField numFmtId="10" showAll="0"/>
    <pivotField numFmtId="10" showAll="0"/>
    <pivotField numFmtId="1" showAll="0"/>
    <pivotField showAll="0"/>
  </pivotFields>
  <rowFields count="1">
    <field x="9"/>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Local_Jobs_Crea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DC0942-1CAE-4104-8314-7D244EA326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1">
    <pivotField showAll="0"/>
    <pivotField showAll="0"/>
    <pivotField axis="axisRow" showAll="0" measureFilter="1" sortType="ascending">
      <items count="16">
        <item x="7"/>
        <item x="0"/>
        <item x="6"/>
        <item x="5"/>
        <item x="1"/>
        <item x="3"/>
        <item x="4"/>
        <item x="8"/>
        <item x="9"/>
        <item x="2"/>
        <item x="13"/>
        <item x="10"/>
        <item x="11"/>
        <item x="1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numFmtId="10" showAll="0"/>
    <pivotField numFmtId="10" showAll="0"/>
    <pivotField numFmtId="10" showAll="0"/>
    <pivotField numFmtId="1" showAll="0"/>
    <pivotField showAll="0"/>
  </pivotFields>
  <rowFields count="1">
    <field x="2"/>
  </rowFields>
  <rowItems count="9">
    <i>
      <x v="11"/>
    </i>
    <i>
      <x v="9"/>
    </i>
    <i>
      <x v="8"/>
    </i>
    <i>
      <x v="5"/>
    </i>
    <i>
      <x v="4"/>
    </i>
    <i>
      <x v="14"/>
    </i>
    <i>
      <x v="12"/>
    </i>
    <i>
      <x v="3"/>
    </i>
    <i t="grand">
      <x/>
    </i>
  </rowItems>
  <colItems count="1">
    <i/>
  </colItems>
  <dataFields count="1">
    <dataField name="Sum of Target_Gap" fld="15" baseField="0" baseItem="0"/>
  </dataFields>
  <chartFormats count="10">
    <chartFormat chart="0" format="0"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2" count="1" selected="0">
            <x v="11"/>
          </reference>
        </references>
      </pivotArea>
    </chartFormat>
    <chartFormat chart="3" format="27">
      <pivotArea type="data" outline="0" fieldPosition="0">
        <references count="2">
          <reference field="4294967294" count="1" selected="0">
            <x v="0"/>
          </reference>
          <reference field="2" count="1" selected="0">
            <x v="9"/>
          </reference>
        </references>
      </pivotArea>
    </chartFormat>
    <chartFormat chart="3" format="28">
      <pivotArea type="data" outline="0" fieldPosition="0">
        <references count="2">
          <reference field="4294967294" count="1" selected="0">
            <x v="0"/>
          </reference>
          <reference field="2" count="1" selected="0">
            <x v="8"/>
          </reference>
        </references>
      </pivotArea>
    </chartFormat>
    <chartFormat chart="3" format="29">
      <pivotArea type="data" outline="0" fieldPosition="0">
        <references count="2">
          <reference field="4294967294" count="1" selected="0">
            <x v="0"/>
          </reference>
          <reference field="2" count="1" selected="0">
            <x v="5"/>
          </reference>
        </references>
      </pivotArea>
    </chartFormat>
    <chartFormat chart="3" format="30">
      <pivotArea type="data" outline="0" fieldPosition="0">
        <references count="2">
          <reference field="4294967294" count="1" selected="0">
            <x v="0"/>
          </reference>
          <reference field="2" count="1" selected="0">
            <x v="4"/>
          </reference>
        </references>
      </pivotArea>
    </chartFormat>
    <chartFormat chart="3" format="31">
      <pivotArea type="data" outline="0" fieldPosition="0">
        <references count="2">
          <reference field="4294967294" count="1" selected="0">
            <x v="0"/>
          </reference>
          <reference field="2" count="1" selected="0">
            <x v="14"/>
          </reference>
        </references>
      </pivotArea>
    </chartFormat>
    <chartFormat chart="3" format="32">
      <pivotArea type="data" outline="0" fieldPosition="0">
        <references count="2">
          <reference field="4294967294" count="1" selected="0">
            <x v="0"/>
          </reference>
          <reference field="2" count="1" selected="0">
            <x v="12"/>
          </reference>
        </references>
      </pivotArea>
    </chartFormat>
    <chartFormat chart="3" format="3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E5AA1D5D-0A16-4360-A34F-83B8B785AFFB}" sourceName="Performance Status">
  <pivotTables>
    <pivotTable tabId="9" name="PivotTable14"/>
  </pivotTables>
  <data>
    <tabular pivotCacheId="1530840479">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vention" xr10:uid="{B14AAE7A-F66C-4154-BAEA-9D89EE629F94}" sourceName="Intervention">
  <pivotTables>
    <pivotTable tabId="9" name="PivotTable14"/>
  </pivotTables>
  <data>
    <tabular pivotCacheId="1530840479">
      <items count="6">
        <i x="2" s="1"/>
        <i x="4" s="1"/>
        <i x="3"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tatus" xr10:uid="{48BCA650-A760-41E0-8170-06C7D46BE27F}" cache="Slicer_Performance_Status" caption="Performance Status" columnCount="3" style="New Slicer" rowHeight="257175"/>
  <slicer name="Intervention" xr10:uid="{CD63AA22-5192-4081-A044-E319B37666F3}" cache="Slicer_Intervention" caption="Intervention" columnCount="6" style="New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6248E-1557-43EB-AA36-2AE6A3E87222}" name="Table1" displayName="Table1" ref="A2:U82" totalsRowShown="0" headerRowDxfId="18">
  <autoFilter ref="A2:U82" xr:uid="{6DE6248E-1557-43EB-AA36-2AE6A3E87222}"/>
  <tableColumns count="21">
    <tableColumn id="1" xr3:uid="{B2C62C9B-C1A4-4867-B9C5-EF278AE7740E}" name="Record_ID"/>
    <tableColumn id="2" xr3:uid="{803E22ED-0C2F-4A85-A3B0-4AF169E7B6AE}" name="Project"/>
    <tableColumn id="3" xr3:uid="{6ED6AA6B-C2CB-41CF-A698-97DA672B285F}" name="State"/>
    <tableColumn id="4" xr3:uid="{E352A29D-866A-44A4-8636-17FD23B41D3A}" name="Intervention"/>
    <tableColumn id="5" xr3:uid="{6665BE8C-A79A-4CDA-A30A-A872C99B9DF6}" name="Baseline_pct"/>
    <tableColumn id="6" xr3:uid="{B63CE371-426A-432D-A3D2-DCE446261C3B}" name="Target_%"/>
    <tableColumn id="7" xr3:uid="{16DA0D8D-EA0D-4430-B49F-1C7FBB5A277F}" name="Current_Achievement_%"/>
    <tableColumn id="8" xr3:uid="{57E9CB6F-886C-459A-9D13-8E1B2D53F491}" name="Beneficiaries"/>
    <tableColumn id="9" xr3:uid="{8630889F-5B74-424F-B51A-8AFB1FDB302D}" name="Local_Jobs_Created"/>
    <tableColumn id="10" xr3:uid="{33421A77-F2EF-4817-869F-E2F891421A35}" name="People_Trained"/>
    <tableColumn id="11" xr3:uid="{40C79567-4CC7-4029-8732-D831C5455EEB}" name="People_Gaining_Clean_Energy_Access"/>
    <tableColumn id="12" xr3:uid="{50B62B56-844B-4E3D-8205-DE559F7DAB1A}" name="System_Uptime_%" dataDxfId="17"/>
    <tableColumn id="13" xr3:uid="{AA68D6C0-7642-4C30-B553-D29A8E016A13}" name="Community_Satisfaction"/>
    <tableColumn id="15" xr3:uid="{F4D43F8D-49CE-4CEB-B644-2393C743539F}" name="Achievement_Gap_pp"/>
    <tableColumn id="17" xr3:uid="{A7618355-3B9D-4A8A-A4BD-408F91328FEF}" name="Achievement_Gap" dataDxfId="16">
      <calculatedColumnFormula>Table1[[#This Row],[Current_Achievement_%]]-Table1[[#This Row],[Baseline_pct]]</calculatedColumnFormula>
    </tableColumn>
    <tableColumn id="18" xr3:uid="{DA3749C8-2388-4949-8EF0-1C10AAA1E7FE}" name="Target_Gap" dataDxfId="15">
      <calculatedColumnFormula>Table1[[#This Row],[Current_Achievement_%]]-Table1[[#This Row],[Target_%]]</calculatedColumnFormula>
    </tableColumn>
    <tableColumn id="19" xr3:uid="{8CA006D6-27A7-4B85-BDB2-74D2377A142E}" name="Target_Achievement_Rate" dataDxfId="14" dataCellStyle="Percent">
      <calculatedColumnFormula>Table1[[#This Row],[Current_Achievement_%]]/Table1[[#This Row],[Target_%]]</calculatedColumnFormula>
    </tableColumn>
    <tableColumn id="20" xr3:uid="{94DBA38E-08A7-48CA-9792-F315F4B0DA03}" name="Clean_Energy _Access_Rate" dataDxfId="13" dataCellStyle="Percent">
      <calculatedColumnFormula>Table1[[#This Row],[People_Gaining_Clean_Energy_Access]]/Table1[[#This Row],[Beneficiaries]]</calculatedColumnFormula>
    </tableColumn>
    <tableColumn id="21" xr3:uid="{EF739401-4516-4F3E-B0D1-B2CF611EEC03}" name="Training-to-Employment_Rate" dataDxfId="12" dataCellStyle="Percent">
      <calculatedColumnFormula>Table1[[#This Row],[Local_Jobs_Created]]/Table1[[#This Row],[People_Trained]]</calculatedColumnFormula>
    </tableColumn>
    <tableColumn id="22" xr3:uid="{B6811451-257F-4377-A770-4691E994D463}" name="Beneficiary_Without_Recorded_Clean_Engergy_Access" dataDxfId="11" dataCellStyle="Percent">
      <calculatedColumnFormula>Table1[[#This Row],[Beneficiaries]]-Table1[[#This Row],[People_Gaining_Clean_Energy_Access]]</calculatedColumnFormula>
    </tableColumn>
    <tableColumn id="23" xr3:uid="{D8E469EC-536C-45A2-821A-5BD17F2DB8BF}" name="Performance Status" dataDxfId="10" dataCellStyle="Percent">
      <calculatedColumnFormula>IF(Table1[[#This Row],[Target_Gap]]&gt;=0,"Meeting/Exceeding Target",
IF(Table1[[#This Row],[Target_Gap]]&gt;=-10,"Moderately Below Target","Significantly Below Target"))</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B59C9-9AB8-424E-8305-BA606B878CAA}">
  <dimension ref="A1:P81"/>
  <sheetViews>
    <sheetView workbookViewId="0">
      <selection activeCell="R12" sqref="R12"/>
    </sheetView>
  </sheetViews>
  <sheetFormatPr defaultRowHeight="15" x14ac:dyDescent="0.25"/>
  <sheetData>
    <row r="1" spans="1:16" x14ac:dyDescent="0.25">
      <c r="A1" t="s">
        <v>129</v>
      </c>
      <c r="B1" t="s">
        <v>0</v>
      </c>
      <c r="C1" t="s">
        <v>1</v>
      </c>
      <c r="D1" t="s">
        <v>2</v>
      </c>
      <c r="E1" t="s">
        <v>3</v>
      </c>
      <c r="F1" t="s">
        <v>4</v>
      </c>
      <c r="G1" t="s">
        <v>5</v>
      </c>
      <c r="H1" t="s">
        <v>6</v>
      </c>
      <c r="I1" t="s">
        <v>7</v>
      </c>
      <c r="J1" t="s">
        <v>8</v>
      </c>
      <c r="K1" t="s">
        <v>9</v>
      </c>
      <c r="L1" t="s">
        <v>10</v>
      </c>
      <c r="M1" t="s">
        <v>130</v>
      </c>
      <c r="N1" t="s">
        <v>11</v>
      </c>
      <c r="O1" t="s">
        <v>12</v>
      </c>
      <c r="P1" t="s">
        <v>13</v>
      </c>
    </row>
    <row r="2" spans="1:16" x14ac:dyDescent="0.25">
      <c r="A2" t="s">
        <v>14</v>
      </c>
      <c r="B2" t="s">
        <v>15</v>
      </c>
      <c r="C2" t="s">
        <v>16</v>
      </c>
      <c r="D2" t="s">
        <v>17</v>
      </c>
      <c r="E2">
        <v>61</v>
      </c>
      <c r="F2">
        <v>74</v>
      </c>
      <c r="G2">
        <v>85</v>
      </c>
      <c r="H2">
        <v>2365</v>
      </c>
      <c r="I2">
        <v>27</v>
      </c>
      <c r="J2">
        <v>131</v>
      </c>
      <c r="K2">
        <v>1681</v>
      </c>
      <c r="L2" s="3">
        <v>0.96799999999999997</v>
      </c>
      <c r="M2">
        <v>4</v>
      </c>
      <c r="N2" t="s">
        <v>18</v>
      </c>
      <c r="O2">
        <v>24</v>
      </c>
      <c r="P2">
        <v>-11</v>
      </c>
    </row>
    <row r="3" spans="1:16" x14ac:dyDescent="0.25">
      <c r="A3" t="s">
        <v>19</v>
      </c>
      <c r="B3" t="s">
        <v>20</v>
      </c>
      <c r="C3" t="s">
        <v>21</v>
      </c>
      <c r="D3" t="s">
        <v>22</v>
      </c>
      <c r="E3">
        <v>63</v>
      </c>
      <c r="F3">
        <v>78</v>
      </c>
      <c r="G3">
        <v>72</v>
      </c>
      <c r="H3">
        <v>1192</v>
      </c>
      <c r="I3">
        <v>51</v>
      </c>
      <c r="J3">
        <v>37</v>
      </c>
      <c r="K3">
        <v>1053</v>
      </c>
      <c r="L3" s="3">
        <v>0.94699999999999995</v>
      </c>
      <c r="M3">
        <v>4.7</v>
      </c>
      <c r="N3" t="s">
        <v>18</v>
      </c>
      <c r="O3">
        <v>9</v>
      </c>
      <c r="P3">
        <v>6</v>
      </c>
    </row>
    <row r="4" spans="1:16" x14ac:dyDescent="0.25">
      <c r="A4" t="s">
        <v>23</v>
      </c>
      <c r="B4" t="s">
        <v>15</v>
      </c>
      <c r="C4" t="s">
        <v>24</v>
      </c>
      <c r="D4" t="s">
        <v>25</v>
      </c>
      <c r="E4">
        <v>61</v>
      </c>
      <c r="F4">
        <v>78</v>
      </c>
      <c r="G4">
        <v>61</v>
      </c>
      <c r="H4">
        <v>2328</v>
      </c>
      <c r="I4">
        <v>66</v>
      </c>
      <c r="J4">
        <v>57</v>
      </c>
      <c r="K4">
        <v>2196</v>
      </c>
      <c r="L4" s="3">
        <v>0.85799999999999998</v>
      </c>
      <c r="M4">
        <v>4.7</v>
      </c>
      <c r="N4" t="s">
        <v>26</v>
      </c>
      <c r="O4">
        <v>0</v>
      </c>
      <c r="P4">
        <v>17</v>
      </c>
    </row>
    <row r="5" spans="1:16" x14ac:dyDescent="0.25">
      <c r="A5" t="s">
        <v>27</v>
      </c>
      <c r="B5" t="s">
        <v>28</v>
      </c>
      <c r="C5" t="s">
        <v>29</v>
      </c>
      <c r="D5" t="s">
        <v>30</v>
      </c>
      <c r="E5">
        <v>54</v>
      </c>
      <c r="F5">
        <v>77</v>
      </c>
      <c r="G5">
        <v>92</v>
      </c>
      <c r="H5">
        <v>2012</v>
      </c>
      <c r="I5">
        <v>9</v>
      </c>
      <c r="J5">
        <v>96</v>
      </c>
      <c r="K5">
        <v>1715</v>
      </c>
      <c r="L5" s="3">
        <v>0.88500000000000001</v>
      </c>
      <c r="M5">
        <v>4.3</v>
      </c>
      <c r="N5" t="s">
        <v>18</v>
      </c>
      <c r="O5">
        <v>38</v>
      </c>
      <c r="P5">
        <v>-15</v>
      </c>
    </row>
    <row r="6" spans="1:16" x14ac:dyDescent="0.25">
      <c r="A6" t="s">
        <v>31</v>
      </c>
      <c r="B6" t="s">
        <v>32</v>
      </c>
      <c r="C6" t="s">
        <v>33</v>
      </c>
      <c r="D6" t="s">
        <v>30</v>
      </c>
      <c r="E6">
        <v>37</v>
      </c>
      <c r="F6">
        <v>94</v>
      </c>
      <c r="G6">
        <v>81</v>
      </c>
      <c r="H6">
        <v>1525</v>
      </c>
      <c r="I6">
        <v>56</v>
      </c>
      <c r="J6">
        <v>241</v>
      </c>
      <c r="K6">
        <v>1447</v>
      </c>
      <c r="L6" s="3">
        <v>0.88600000000000001</v>
      </c>
      <c r="M6">
        <v>3.9</v>
      </c>
      <c r="N6" t="s">
        <v>26</v>
      </c>
      <c r="O6">
        <v>44</v>
      </c>
      <c r="P6">
        <v>13</v>
      </c>
    </row>
    <row r="7" spans="1:16" x14ac:dyDescent="0.25">
      <c r="A7" t="s">
        <v>34</v>
      </c>
      <c r="B7" t="s">
        <v>35</v>
      </c>
      <c r="C7" t="s">
        <v>36</v>
      </c>
      <c r="D7" t="s">
        <v>25</v>
      </c>
      <c r="E7">
        <v>37</v>
      </c>
      <c r="F7">
        <v>92</v>
      </c>
      <c r="G7">
        <v>97</v>
      </c>
      <c r="H7">
        <v>151</v>
      </c>
      <c r="I7">
        <v>65</v>
      </c>
      <c r="J7">
        <v>204</v>
      </c>
      <c r="K7">
        <v>139</v>
      </c>
      <c r="L7" s="3">
        <v>0.83399999999999996</v>
      </c>
      <c r="M7">
        <v>4.8</v>
      </c>
      <c r="N7" t="s">
        <v>18</v>
      </c>
      <c r="O7">
        <v>60</v>
      </c>
      <c r="P7">
        <v>-5</v>
      </c>
    </row>
    <row r="8" spans="1:16" x14ac:dyDescent="0.25">
      <c r="A8" t="s">
        <v>37</v>
      </c>
      <c r="B8" t="s">
        <v>38</v>
      </c>
      <c r="C8" t="s">
        <v>39</v>
      </c>
      <c r="D8" t="s">
        <v>17</v>
      </c>
      <c r="E8">
        <v>58</v>
      </c>
      <c r="F8">
        <v>74</v>
      </c>
      <c r="G8">
        <v>75</v>
      </c>
      <c r="H8">
        <v>2040</v>
      </c>
      <c r="I8">
        <v>34</v>
      </c>
      <c r="J8">
        <v>273</v>
      </c>
      <c r="K8">
        <v>1697</v>
      </c>
      <c r="L8" s="3">
        <v>0.89200000000000002</v>
      </c>
      <c r="M8">
        <v>4.2</v>
      </c>
      <c r="N8" t="s">
        <v>18</v>
      </c>
      <c r="O8">
        <v>17</v>
      </c>
      <c r="P8">
        <v>-1</v>
      </c>
    </row>
    <row r="9" spans="1:16" x14ac:dyDescent="0.25">
      <c r="A9" t="s">
        <v>40</v>
      </c>
      <c r="B9" t="s">
        <v>32</v>
      </c>
      <c r="C9" t="s">
        <v>41</v>
      </c>
      <c r="D9" t="s">
        <v>25</v>
      </c>
      <c r="E9">
        <v>71</v>
      </c>
      <c r="F9">
        <v>87</v>
      </c>
      <c r="G9">
        <v>73</v>
      </c>
      <c r="H9">
        <v>355</v>
      </c>
      <c r="I9">
        <v>57</v>
      </c>
      <c r="J9">
        <v>292</v>
      </c>
      <c r="K9">
        <v>267</v>
      </c>
      <c r="L9" s="3">
        <v>0.83099999999999996</v>
      </c>
      <c r="M9">
        <v>4.8</v>
      </c>
      <c r="N9" t="s">
        <v>26</v>
      </c>
      <c r="O9">
        <v>2</v>
      </c>
      <c r="P9">
        <v>14</v>
      </c>
    </row>
    <row r="10" spans="1:16" x14ac:dyDescent="0.25">
      <c r="A10" t="s">
        <v>42</v>
      </c>
      <c r="B10" t="s">
        <v>15</v>
      </c>
      <c r="C10" t="s">
        <v>43</v>
      </c>
      <c r="D10" t="s">
        <v>44</v>
      </c>
      <c r="E10">
        <v>37</v>
      </c>
      <c r="F10">
        <v>95</v>
      </c>
      <c r="G10">
        <v>95</v>
      </c>
      <c r="H10">
        <v>1600</v>
      </c>
      <c r="I10">
        <v>31</v>
      </c>
      <c r="J10">
        <v>208</v>
      </c>
      <c r="K10">
        <v>1126</v>
      </c>
      <c r="L10" s="3">
        <v>0.88500000000000001</v>
      </c>
      <c r="M10">
        <v>3.9</v>
      </c>
      <c r="N10" t="s">
        <v>18</v>
      </c>
      <c r="O10">
        <v>58</v>
      </c>
      <c r="P10">
        <v>0</v>
      </c>
    </row>
    <row r="11" spans="1:16" x14ac:dyDescent="0.25">
      <c r="A11" t="s">
        <v>45</v>
      </c>
      <c r="B11" t="s">
        <v>38</v>
      </c>
      <c r="C11" t="s">
        <v>33</v>
      </c>
      <c r="D11" t="s">
        <v>44</v>
      </c>
      <c r="E11">
        <v>42</v>
      </c>
      <c r="F11">
        <v>87</v>
      </c>
      <c r="G11">
        <v>96</v>
      </c>
      <c r="H11">
        <v>1836</v>
      </c>
      <c r="I11">
        <v>16</v>
      </c>
      <c r="J11">
        <v>190</v>
      </c>
      <c r="K11">
        <v>1212</v>
      </c>
      <c r="L11" s="3">
        <v>0.82399999999999995</v>
      </c>
      <c r="M11">
        <v>3.8</v>
      </c>
      <c r="N11" t="s">
        <v>18</v>
      </c>
      <c r="O11">
        <v>54</v>
      </c>
      <c r="P11">
        <v>-9</v>
      </c>
    </row>
    <row r="12" spans="1:16" x14ac:dyDescent="0.25">
      <c r="A12" t="s">
        <v>46</v>
      </c>
      <c r="B12" t="s">
        <v>47</v>
      </c>
      <c r="C12" t="s">
        <v>48</v>
      </c>
      <c r="D12" t="s">
        <v>17</v>
      </c>
      <c r="E12">
        <v>44</v>
      </c>
      <c r="F12">
        <v>78</v>
      </c>
      <c r="G12">
        <v>89</v>
      </c>
      <c r="H12">
        <v>644</v>
      </c>
      <c r="I12">
        <v>55</v>
      </c>
      <c r="J12">
        <v>332</v>
      </c>
      <c r="K12">
        <v>517</v>
      </c>
      <c r="L12" s="3">
        <v>0.96</v>
      </c>
      <c r="M12">
        <v>3.5</v>
      </c>
      <c r="N12" t="s">
        <v>18</v>
      </c>
      <c r="O12">
        <v>45</v>
      </c>
      <c r="P12">
        <v>-11</v>
      </c>
    </row>
    <row r="13" spans="1:16" x14ac:dyDescent="0.25">
      <c r="A13" t="s">
        <v>49</v>
      </c>
      <c r="B13" t="s">
        <v>50</v>
      </c>
      <c r="C13" t="s">
        <v>51</v>
      </c>
      <c r="D13" t="s">
        <v>17</v>
      </c>
      <c r="E13">
        <v>45</v>
      </c>
      <c r="F13">
        <v>78</v>
      </c>
      <c r="G13">
        <v>72</v>
      </c>
      <c r="H13">
        <v>1886</v>
      </c>
      <c r="I13">
        <v>15</v>
      </c>
      <c r="J13">
        <v>256</v>
      </c>
      <c r="K13">
        <v>1299</v>
      </c>
      <c r="L13" s="3">
        <v>0.91100000000000003</v>
      </c>
      <c r="M13">
        <v>3.7</v>
      </c>
      <c r="N13" t="s">
        <v>18</v>
      </c>
      <c r="O13">
        <v>27</v>
      </c>
      <c r="P13">
        <v>6</v>
      </c>
    </row>
    <row r="14" spans="1:16" x14ac:dyDescent="0.25">
      <c r="A14" t="s">
        <v>52</v>
      </c>
      <c r="B14" t="s">
        <v>38</v>
      </c>
      <c r="C14" t="s">
        <v>43</v>
      </c>
      <c r="D14" t="s">
        <v>17</v>
      </c>
      <c r="E14">
        <v>71</v>
      </c>
      <c r="F14">
        <v>88</v>
      </c>
      <c r="G14">
        <v>78</v>
      </c>
      <c r="H14">
        <v>2400</v>
      </c>
      <c r="I14">
        <v>35</v>
      </c>
      <c r="J14">
        <v>240</v>
      </c>
      <c r="K14">
        <v>2279</v>
      </c>
      <c r="L14" s="3">
        <v>0.96</v>
      </c>
      <c r="M14">
        <v>4.8</v>
      </c>
      <c r="N14" t="s">
        <v>26</v>
      </c>
      <c r="O14">
        <v>7</v>
      </c>
      <c r="P14">
        <v>10</v>
      </c>
    </row>
    <row r="15" spans="1:16" x14ac:dyDescent="0.25">
      <c r="A15" t="s">
        <v>53</v>
      </c>
      <c r="B15" t="s">
        <v>35</v>
      </c>
      <c r="C15" t="s">
        <v>36</v>
      </c>
      <c r="D15" t="s">
        <v>22</v>
      </c>
      <c r="E15">
        <v>66</v>
      </c>
      <c r="F15">
        <v>82</v>
      </c>
      <c r="G15">
        <v>81</v>
      </c>
      <c r="H15">
        <v>271</v>
      </c>
      <c r="I15">
        <v>57</v>
      </c>
      <c r="J15">
        <v>219</v>
      </c>
      <c r="K15">
        <v>249</v>
      </c>
      <c r="L15" s="3">
        <v>0.83</v>
      </c>
      <c r="M15">
        <v>3.8</v>
      </c>
      <c r="N15" t="s">
        <v>18</v>
      </c>
      <c r="O15">
        <v>15</v>
      </c>
      <c r="P15">
        <v>1</v>
      </c>
    </row>
    <row r="16" spans="1:16" x14ac:dyDescent="0.25">
      <c r="A16" t="s">
        <v>54</v>
      </c>
      <c r="B16" t="s">
        <v>38</v>
      </c>
      <c r="C16" t="s">
        <v>55</v>
      </c>
      <c r="D16" t="s">
        <v>25</v>
      </c>
      <c r="E16">
        <v>31</v>
      </c>
      <c r="F16">
        <v>77</v>
      </c>
      <c r="G16">
        <v>71</v>
      </c>
      <c r="H16">
        <v>352</v>
      </c>
      <c r="I16">
        <v>9</v>
      </c>
      <c r="J16">
        <v>166</v>
      </c>
      <c r="K16">
        <v>252</v>
      </c>
      <c r="L16" s="3">
        <v>0.84399999999999997</v>
      </c>
      <c r="M16">
        <v>4.3</v>
      </c>
      <c r="N16" t="s">
        <v>18</v>
      </c>
      <c r="O16">
        <v>40</v>
      </c>
      <c r="P16">
        <v>6</v>
      </c>
    </row>
    <row r="17" spans="1:16" x14ac:dyDescent="0.25">
      <c r="A17" t="s">
        <v>56</v>
      </c>
      <c r="B17" t="s">
        <v>57</v>
      </c>
      <c r="C17" t="s">
        <v>48</v>
      </c>
      <c r="D17" t="s">
        <v>17</v>
      </c>
      <c r="E17">
        <v>33</v>
      </c>
      <c r="F17">
        <v>91</v>
      </c>
      <c r="G17">
        <v>89</v>
      </c>
      <c r="H17">
        <v>2304</v>
      </c>
      <c r="I17">
        <v>46</v>
      </c>
      <c r="J17">
        <v>183</v>
      </c>
      <c r="K17">
        <v>2274</v>
      </c>
      <c r="L17" s="3">
        <v>0.78200000000000003</v>
      </c>
      <c r="M17">
        <v>4.4000000000000004</v>
      </c>
      <c r="N17" t="s">
        <v>18</v>
      </c>
      <c r="O17">
        <v>56</v>
      </c>
      <c r="P17">
        <v>2</v>
      </c>
    </row>
    <row r="18" spans="1:16" x14ac:dyDescent="0.25">
      <c r="A18" t="s">
        <v>58</v>
      </c>
      <c r="B18" t="s">
        <v>20</v>
      </c>
      <c r="C18" t="s">
        <v>33</v>
      </c>
      <c r="D18" t="s">
        <v>30</v>
      </c>
      <c r="E18">
        <v>48</v>
      </c>
      <c r="F18">
        <v>95</v>
      </c>
      <c r="G18">
        <v>83</v>
      </c>
      <c r="H18">
        <v>1799</v>
      </c>
      <c r="I18">
        <v>31</v>
      </c>
      <c r="J18">
        <v>229</v>
      </c>
      <c r="K18">
        <v>1793</v>
      </c>
      <c r="L18" s="3">
        <v>0.89600000000000002</v>
      </c>
      <c r="M18">
        <v>4.9000000000000004</v>
      </c>
      <c r="N18" t="s">
        <v>26</v>
      </c>
      <c r="O18">
        <v>35</v>
      </c>
      <c r="P18">
        <v>12</v>
      </c>
    </row>
    <row r="19" spans="1:16" x14ac:dyDescent="0.25">
      <c r="A19" t="s">
        <v>59</v>
      </c>
      <c r="B19" t="s">
        <v>47</v>
      </c>
      <c r="C19" t="s">
        <v>48</v>
      </c>
      <c r="D19" t="s">
        <v>22</v>
      </c>
      <c r="E19">
        <v>67</v>
      </c>
      <c r="F19">
        <v>81</v>
      </c>
      <c r="G19">
        <v>72</v>
      </c>
      <c r="H19">
        <v>1002</v>
      </c>
      <c r="I19">
        <v>12</v>
      </c>
      <c r="J19">
        <v>203</v>
      </c>
      <c r="K19">
        <v>860</v>
      </c>
      <c r="L19" s="3">
        <v>0.81200000000000006</v>
      </c>
      <c r="M19">
        <v>4.8</v>
      </c>
      <c r="N19" t="s">
        <v>26</v>
      </c>
      <c r="O19">
        <v>5</v>
      </c>
      <c r="P19">
        <v>9</v>
      </c>
    </row>
    <row r="20" spans="1:16" x14ac:dyDescent="0.25">
      <c r="A20" t="s">
        <v>60</v>
      </c>
      <c r="B20" t="s">
        <v>20</v>
      </c>
      <c r="C20" t="s">
        <v>55</v>
      </c>
      <c r="D20" t="s">
        <v>22</v>
      </c>
      <c r="E20">
        <v>53</v>
      </c>
      <c r="F20">
        <v>91</v>
      </c>
      <c r="G20">
        <v>99</v>
      </c>
      <c r="H20">
        <v>231</v>
      </c>
      <c r="I20">
        <v>8</v>
      </c>
      <c r="J20">
        <v>214</v>
      </c>
      <c r="K20">
        <v>211</v>
      </c>
      <c r="L20" s="3">
        <v>0.79200000000000004</v>
      </c>
      <c r="M20">
        <v>3.2</v>
      </c>
      <c r="N20" t="s">
        <v>18</v>
      </c>
      <c r="O20">
        <v>46</v>
      </c>
      <c r="P20">
        <v>-8</v>
      </c>
    </row>
    <row r="21" spans="1:16" x14ac:dyDescent="0.25">
      <c r="A21" t="s">
        <v>61</v>
      </c>
      <c r="B21" t="s">
        <v>20</v>
      </c>
      <c r="C21" t="s">
        <v>16</v>
      </c>
      <c r="D21" t="s">
        <v>25</v>
      </c>
      <c r="E21">
        <v>55</v>
      </c>
      <c r="F21">
        <v>84</v>
      </c>
      <c r="G21">
        <v>87</v>
      </c>
      <c r="H21">
        <v>2289</v>
      </c>
      <c r="I21">
        <v>53</v>
      </c>
      <c r="J21">
        <v>159</v>
      </c>
      <c r="K21">
        <v>2216</v>
      </c>
      <c r="L21" s="3">
        <v>0.84699999999999998</v>
      </c>
      <c r="M21">
        <v>4.4000000000000004</v>
      </c>
      <c r="N21" t="s">
        <v>18</v>
      </c>
      <c r="O21">
        <v>32</v>
      </c>
      <c r="P21">
        <v>-3</v>
      </c>
    </row>
    <row r="22" spans="1:16" x14ac:dyDescent="0.25">
      <c r="A22" t="s">
        <v>62</v>
      </c>
      <c r="B22" t="s">
        <v>38</v>
      </c>
      <c r="C22" t="s">
        <v>63</v>
      </c>
      <c r="D22" t="s">
        <v>44</v>
      </c>
      <c r="E22">
        <v>31</v>
      </c>
      <c r="F22">
        <v>72</v>
      </c>
      <c r="G22">
        <v>59</v>
      </c>
      <c r="H22">
        <v>1536</v>
      </c>
      <c r="I22">
        <v>65</v>
      </c>
      <c r="J22">
        <v>313</v>
      </c>
      <c r="K22">
        <v>1365</v>
      </c>
      <c r="L22" s="3">
        <v>0.98399999999999999</v>
      </c>
      <c r="M22">
        <v>3.4</v>
      </c>
      <c r="N22" t="s">
        <v>26</v>
      </c>
      <c r="O22">
        <v>28</v>
      </c>
      <c r="P22">
        <v>13</v>
      </c>
    </row>
    <row r="23" spans="1:16" x14ac:dyDescent="0.25">
      <c r="A23" t="s">
        <v>64</v>
      </c>
      <c r="B23" t="s">
        <v>20</v>
      </c>
      <c r="C23" t="s">
        <v>43</v>
      </c>
      <c r="D23" t="s">
        <v>25</v>
      </c>
      <c r="E23">
        <v>34</v>
      </c>
      <c r="F23">
        <v>75</v>
      </c>
      <c r="G23">
        <v>52</v>
      </c>
      <c r="H23">
        <v>954</v>
      </c>
      <c r="I23">
        <v>50</v>
      </c>
      <c r="J23">
        <v>110</v>
      </c>
      <c r="K23">
        <v>931</v>
      </c>
      <c r="L23" s="3">
        <v>0.95699999999999996</v>
      </c>
      <c r="M23">
        <v>4.2</v>
      </c>
      <c r="N23" t="s">
        <v>65</v>
      </c>
      <c r="O23">
        <v>18</v>
      </c>
      <c r="P23">
        <v>23</v>
      </c>
    </row>
    <row r="24" spans="1:16" x14ac:dyDescent="0.25">
      <c r="A24" t="s">
        <v>66</v>
      </c>
      <c r="B24" t="s">
        <v>15</v>
      </c>
      <c r="C24" t="s">
        <v>43</v>
      </c>
      <c r="D24" t="s">
        <v>17</v>
      </c>
      <c r="E24">
        <v>39</v>
      </c>
      <c r="F24">
        <v>94</v>
      </c>
      <c r="G24">
        <v>98</v>
      </c>
      <c r="H24">
        <v>1993</v>
      </c>
      <c r="I24">
        <v>56</v>
      </c>
      <c r="J24">
        <v>330</v>
      </c>
      <c r="K24">
        <v>1547</v>
      </c>
      <c r="L24" s="3">
        <v>0.8</v>
      </c>
      <c r="M24">
        <v>4.2</v>
      </c>
      <c r="N24" t="s">
        <v>18</v>
      </c>
      <c r="O24">
        <v>59</v>
      </c>
      <c r="P24">
        <v>-4</v>
      </c>
    </row>
    <row r="25" spans="1:16" x14ac:dyDescent="0.25">
      <c r="A25" t="s">
        <v>67</v>
      </c>
      <c r="B25" t="s">
        <v>57</v>
      </c>
      <c r="C25" t="s">
        <v>29</v>
      </c>
      <c r="D25" t="s">
        <v>68</v>
      </c>
      <c r="E25">
        <v>31</v>
      </c>
      <c r="F25">
        <v>70</v>
      </c>
      <c r="G25">
        <v>58</v>
      </c>
      <c r="H25">
        <v>439</v>
      </c>
      <c r="I25">
        <v>63</v>
      </c>
      <c r="J25">
        <v>326</v>
      </c>
      <c r="K25">
        <v>386</v>
      </c>
      <c r="L25" s="3">
        <v>0.89400000000000002</v>
      </c>
      <c r="M25">
        <v>3.4</v>
      </c>
      <c r="N25" t="s">
        <v>26</v>
      </c>
      <c r="O25">
        <v>27</v>
      </c>
      <c r="P25">
        <v>12</v>
      </c>
    </row>
    <row r="26" spans="1:16" x14ac:dyDescent="0.25">
      <c r="A26" t="s">
        <v>69</v>
      </c>
      <c r="B26" t="s">
        <v>47</v>
      </c>
      <c r="C26" t="s">
        <v>41</v>
      </c>
      <c r="D26" t="s">
        <v>25</v>
      </c>
      <c r="E26">
        <v>57</v>
      </c>
      <c r="F26">
        <v>95</v>
      </c>
      <c r="G26">
        <v>84</v>
      </c>
      <c r="H26">
        <v>753</v>
      </c>
      <c r="I26">
        <v>34</v>
      </c>
      <c r="J26">
        <v>71</v>
      </c>
      <c r="K26">
        <v>496</v>
      </c>
      <c r="L26" s="3">
        <v>0.89300000000000002</v>
      </c>
      <c r="M26">
        <v>3.6</v>
      </c>
      <c r="N26" t="s">
        <v>26</v>
      </c>
      <c r="O26">
        <v>27</v>
      </c>
      <c r="P26">
        <v>11</v>
      </c>
    </row>
    <row r="27" spans="1:16" x14ac:dyDescent="0.25">
      <c r="A27" t="s">
        <v>70</v>
      </c>
      <c r="B27" t="s">
        <v>57</v>
      </c>
      <c r="C27" t="s">
        <v>24</v>
      </c>
      <c r="D27" t="s">
        <v>68</v>
      </c>
      <c r="E27">
        <v>71</v>
      </c>
      <c r="F27">
        <v>91</v>
      </c>
      <c r="G27">
        <v>94</v>
      </c>
      <c r="H27">
        <v>1529</v>
      </c>
      <c r="I27">
        <v>24</v>
      </c>
      <c r="J27">
        <v>228</v>
      </c>
      <c r="K27">
        <v>1034</v>
      </c>
      <c r="L27" s="3">
        <v>0.97299999999999998</v>
      </c>
      <c r="M27">
        <v>4.5</v>
      </c>
      <c r="N27" t="s">
        <v>18</v>
      </c>
      <c r="O27">
        <v>23</v>
      </c>
      <c r="P27">
        <v>-3</v>
      </c>
    </row>
    <row r="28" spans="1:16" x14ac:dyDescent="0.25">
      <c r="A28" t="s">
        <v>71</v>
      </c>
      <c r="B28" t="s">
        <v>38</v>
      </c>
      <c r="C28" t="s">
        <v>36</v>
      </c>
      <c r="D28" t="s">
        <v>68</v>
      </c>
      <c r="E28">
        <v>55</v>
      </c>
      <c r="F28">
        <v>82</v>
      </c>
      <c r="G28">
        <v>77</v>
      </c>
      <c r="H28">
        <v>669</v>
      </c>
      <c r="I28">
        <v>48</v>
      </c>
      <c r="J28">
        <v>281</v>
      </c>
      <c r="K28">
        <v>567</v>
      </c>
      <c r="L28" s="3">
        <v>0.81899999999999995</v>
      </c>
      <c r="M28">
        <v>3.4</v>
      </c>
      <c r="N28" t="s">
        <v>18</v>
      </c>
      <c r="O28">
        <v>22</v>
      </c>
      <c r="P28">
        <v>5</v>
      </c>
    </row>
    <row r="29" spans="1:16" x14ac:dyDescent="0.25">
      <c r="A29" t="s">
        <v>72</v>
      </c>
      <c r="B29" t="s">
        <v>35</v>
      </c>
      <c r="C29" t="s">
        <v>29</v>
      </c>
      <c r="D29" t="s">
        <v>25</v>
      </c>
      <c r="E29">
        <v>42</v>
      </c>
      <c r="F29">
        <v>86</v>
      </c>
      <c r="G29">
        <v>73</v>
      </c>
      <c r="H29">
        <v>1348</v>
      </c>
      <c r="I29">
        <v>38</v>
      </c>
      <c r="J29">
        <v>79</v>
      </c>
      <c r="K29">
        <v>932</v>
      </c>
      <c r="L29" s="3">
        <v>0.98099999999999998</v>
      </c>
      <c r="M29">
        <v>4.4000000000000004</v>
      </c>
      <c r="N29" t="s">
        <v>26</v>
      </c>
      <c r="O29">
        <v>31</v>
      </c>
      <c r="P29">
        <v>13</v>
      </c>
    </row>
    <row r="30" spans="1:16" x14ac:dyDescent="0.25">
      <c r="A30" t="s">
        <v>73</v>
      </c>
      <c r="B30" t="s">
        <v>20</v>
      </c>
      <c r="C30" t="s">
        <v>74</v>
      </c>
      <c r="D30" t="s">
        <v>22</v>
      </c>
      <c r="E30">
        <v>34</v>
      </c>
      <c r="F30">
        <v>95</v>
      </c>
      <c r="G30">
        <v>79</v>
      </c>
      <c r="H30">
        <v>1551</v>
      </c>
      <c r="I30">
        <v>21</v>
      </c>
      <c r="J30">
        <v>292</v>
      </c>
      <c r="K30">
        <v>1511</v>
      </c>
      <c r="L30" s="3">
        <v>0.96199999999999997</v>
      </c>
      <c r="M30">
        <v>3.6</v>
      </c>
      <c r="N30" t="s">
        <v>26</v>
      </c>
      <c r="O30">
        <v>45</v>
      </c>
      <c r="P30">
        <v>16</v>
      </c>
    </row>
    <row r="31" spans="1:16" x14ac:dyDescent="0.25">
      <c r="A31" t="s">
        <v>75</v>
      </c>
      <c r="B31" t="s">
        <v>15</v>
      </c>
      <c r="C31" t="s">
        <v>39</v>
      </c>
      <c r="D31" t="s">
        <v>17</v>
      </c>
      <c r="E31">
        <v>72</v>
      </c>
      <c r="F31">
        <v>84</v>
      </c>
      <c r="G31">
        <v>76</v>
      </c>
      <c r="H31">
        <v>1083</v>
      </c>
      <c r="I31">
        <v>38</v>
      </c>
      <c r="J31">
        <v>119</v>
      </c>
      <c r="K31">
        <v>962</v>
      </c>
      <c r="L31" s="3">
        <v>0.98199999999999998</v>
      </c>
      <c r="M31">
        <v>3.3</v>
      </c>
      <c r="N31" t="s">
        <v>18</v>
      </c>
      <c r="O31">
        <v>4</v>
      </c>
      <c r="P31">
        <v>8</v>
      </c>
    </row>
    <row r="32" spans="1:16" x14ac:dyDescent="0.25">
      <c r="A32" t="s">
        <v>76</v>
      </c>
      <c r="B32" t="s">
        <v>47</v>
      </c>
      <c r="C32" t="s">
        <v>41</v>
      </c>
      <c r="D32" t="s">
        <v>25</v>
      </c>
      <c r="E32">
        <v>46</v>
      </c>
      <c r="F32">
        <v>76</v>
      </c>
      <c r="G32">
        <v>67</v>
      </c>
      <c r="H32">
        <v>879</v>
      </c>
      <c r="I32">
        <v>39</v>
      </c>
      <c r="J32">
        <v>160</v>
      </c>
      <c r="K32">
        <v>734</v>
      </c>
      <c r="L32" s="3">
        <v>0.89600000000000002</v>
      </c>
      <c r="M32">
        <v>3.7</v>
      </c>
      <c r="N32" t="s">
        <v>26</v>
      </c>
      <c r="O32">
        <v>21</v>
      </c>
      <c r="P32">
        <v>9</v>
      </c>
    </row>
    <row r="33" spans="1:16" x14ac:dyDescent="0.25">
      <c r="A33" t="s">
        <v>77</v>
      </c>
      <c r="B33" t="s">
        <v>32</v>
      </c>
      <c r="C33" t="s">
        <v>16</v>
      </c>
      <c r="D33" t="s">
        <v>17</v>
      </c>
      <c r="E33">
        <v>45</v>
      </c>
      <c r="F33">
        <v>73</v>
      </c>
      <c r="G33">
        <v>66</v>
      </c>
      <c r="H33">
        <v>508</v>
      </c>
      <c r="I33">
        <v>31</v>
      </c>
      <c r="J33">
        <v>256</v>
      </c>
      <c r="K33">
        <v>456</v>
      </c>
      <c r="L33" s="3">
        <v>0.80100000000000005</v>
      </c>
      <c r="M33">
        <v>3.7</v>
      </c>
      <c r="N33" t="s">
        <v>18</v>
      </c>
      <c r="O33">
        <v>21</v>
      </c>
      <c r="P33">
        <v>7</v>
      </c>
    </row>
    <row r="34" spans="1:16" x14ac:dyDescent="0.25">
      <c r="A34" t="s">
        <v>78</v>
      </c>
      <c r="B34" t="s">
        <v>20</v>
      </c>
      <c r="C34" t="s">
        <v>51</v>
      </c>
      <c r="D34" t="s">
        <v>25</v>
      </c>
      <c r="E34">
        <v>37</v>
      </c>
      <c r="F34">
        <v>76</v>
      </c>
      <c r="G34">
        <v>85</v>
      </c>
      <c r="H34">
        <v>1561</v>
      </c>
      <c r="I34">
        <v>21</v>
      </c>
      <c r="J34">
        <v>216</v>
      </c>
      <c r="K34">
        <v>1441</v>
      </c>
      <c r="L34" s="3">
        <v>0.86599999999999999</v>
      </c>
      <c r="M34">
        <v>4</v>
      </c>
      <c r="N34" t="s">
        <v>18</v>
      </c>
      <c r="O34">
        <v>48</v>
      </c>
      <c r="P34">
        <v>-9</v>
      </c>
    </row>
    <row r="35" spans="1:16" x14ac:dyDescent="0.25">
      <c r="A35" t="s">
        <v>79</v>
      </c>
      <c r="B35" t="s">
        <v>15</v>
      </c>
      <c r="C35" t="s">
        <v>80</v>
      </c>
      <c r="D35" t="s">
        <v>25</v>
      </c>
      <c r="E35">
        <v>35</v>
      </c>
      <c r="F35">
        <v>93</v>
      </c>
      <c r="G35">
        <v>100</v>
      </c>
      <c r="H35">
        <v>1737</v>
      </c>
      <c r="I35">
        <v>7</v>
      </c>
      <c r="J35">
        <v>112</v>
      </c>
      <c r="K35">
        <v>1685</v>
      </c>
      <c r="L35" s="3">
        <v>0.83399999999999996</v>
      </c>
      <c r="M35">
        <v>4.5999999999999996</v>
      </c>
      <c r="N35" t="s">
        <v>18</v>
      </c>
      <c r="O35">
        <v>65</v>
      </c>
      <c r="P35">
        <v>-7</v>
      </c>
    </row>
    <row r="36" spans="1:16" x14ac:dyDescent="0.25">
      <c r="A36" t="s">
        <v>81</v>
      </c>
      <c r="B36" t="s">
        <v>47</v>
      </c>
      <c r="C36" t="s">
        <v>63</v>
      </c>
      <c r="D36" t="s">
        <v>22</v>
      </c>
      <c r="E36">
        <v>66</v>
      </c>
      <c r="F36">
        <v>79</v>
      </c>
      <c r="G36">
        <v>66</v>
      </c>
      <c r="H36">
        <v>526</v>
      </c>
      <c r="I36">
        <v>70</v>
      </c>
      <c r="J36">
        <v>125</v>
      </c>
      <c r="K36">
        <v>343</v>
      </c>
      <c r="L36" s="3">
        <v>0.99</v>
      </c>
      <c r="M36">
        <v>4.8</v>
      </c>
      <c r="N36" t="s">
        <v>26</v>
      </c>
      <c r="O36">
        <v>0</v>
      </c>
      <c r="P36">
        <v>13</v>
      </c>
    </row>
    <row r="37" spans="1:16" x14ac:dyDescent="0.25">
      <c r="A37" t="s">
        <v>82</v>
      </c>
      <c r="B37" t="s">
        <v>32</v>
      </c>
      <c r="C37" t="s">
        <v>63</v>
      </c>
      <c r="D37" t="s">
        <v>68</v>
      </c>
      <c r="E37">
        <v>48</v>
      </c>
      <c r="F37">
        <v>74</v>
      </c>
      <c r="G37">
        <v>77</v>
      </c>
      <c r="H37">
        <v>805</v>
      </c>
      <c r="I37">
        <v>73</v>
      </c>
      <c r="J37">
        <v>310</v>
      </c>
      <c r="K37">
        <v>789</v>
      </c>
      <c r="L37" s="3">
        <v>0.86599999999999999</v>
      </c>
      <c r="M37">
        <v>4.5</v>
      </c>
      <c r="N37" t="s">
        <v>18</v>
      </c>
      <c r="O37">
        <v>29</v>
      </c>
      <c r="P37">
        <v>-3</v>
      </c>
    </row>
    <row r="38" spans="1:16" x14ac:dyDescent="0.25">
      <c r="A38" t="s">
        <v>83</v>
      </c>
      <c r="B38" t="s">
        <v>50</v>
      </c>
      <c r="C38" t="s">
        <v>16</v>
      </c>
      <c r="D38" t="s">
        <v>68</v>
      </c>
      <c r="E38">
        <v>41</v>
      </c>
      <c r="F38">
        <v>92</v>
      </c>
      <c r="G38">
        <v>64</v>
      </c>
      <c r="H38">
        <v>2378</v>
      </c>
      <c r="I38">
        <v>76</v>
      </c>
      <c r="J38">
        <v>298</v>
      </c>
      <c r="K38">
        <v>1600</v>
      </c>
      <c r="L38" s="3">
        <v>0.97099999999999997</v>
      </c>
      <c r="M38">
        <v>3.9</v>
      </c>
      <c r="N38" t="s">
        <v>65</v>
      </c>
      <c r="O38">
        <v>23</v>
      </c>
      <c r="P38">
        <v>28</v>
      </c>
    </row>
    <row r="39" spans="1:16" x14ac:dyDescent="0.25">
      <c r="A39" t="s">
        <v>84</v>
      </c>
      <c r="B39" t="s">
        <v>32</v>
      </c>
      <c r="C39" t="s">
        <v>63</v>
      </c>
      <c r="D39" t="s">
        <v>44</v>
      </c>
      <c r="E39">
        <v>57</v>
      </c>
      <c r="F39">
        <v>71</v>
      </c>
      <c r="G39">
        <v>57</v>
      </c>
      <c r="H39">
        <v>2495</v>
      </c>
      <c r="I39">
        <v>28</v>
      </c>
      <c r="J39">
        <v>93</v>
      </c>
      <c r="K39">
        <v>2405</v>
      </c>
      <c r="L39" s="3">
        <v>0.79800000000000004</v>
      </c>
      <c r="M39">
        <v>3.9</v>
      </c>
      <c r="N39" t="s">
        <v>26</v>
      </c>
      <c r="O39">
        <v>0</v>
      </c>
      <c r="P39">
        <v>14</v>
      </c>
    </row>
    <row r="40" spans="1:16" x14ac:dyDescent="0.25">
      <c r="A40" t="s">
        <v>85</v>
      </c>
      <c r="B40" t="s">
        <v>15</v>
      </c>
      <c r="C40" t="s">
        <v>63</v>
      </c>
      <c r="D40" t="s">
        <v>68</v>
      </c>
      <c r="E40">
        <v>43</v>
      </c>
      <c r="F40">
        <v>72</v>
      </c>
      <c r="G40">
        <v>56</v>
      </c>
      <c r="H40">
        <v>2226</v>
      </c>
      <c r="I40">
        <v>78</v>
      </c>
      <c r="J40">
        <v>30</v>
      </c>
      <c r="K40">
        <v>2093</v>
      </c>
      <c r="L40" s="3">
        <v>0.98399999999999999</v>
      </c>
      <c r="M40">
        <v>3.7</v>
      </c>
      <c r="N40" t="s">
        <v>26</v>
      </c>
      <c r="O40">
        <v>13</v>
      </c>
      <c r="P40">
        <v>16</v>
      </c>
    </row>
    <row r="41" spans="1:16" x14ac:dyDescent="0.25">
      <c r="A41" t="s">
        <v>86</v>
      </c>
      <c r="B41" t="s">
        <v>38</v>
      </c>
      <c r="C41" t="s">
        <v>51</v>
      </c>
      <c r="D41" t="s">
        <v>44</v>
      </c>
      <c r="E41">
        <v>41</v>
      </c>
      <c r="F41">
        <v>94</v>
      </c>
      <c r="G41">
        <v>93</v>
      </c>
      <c r="H41">
        <v>889</v>
      </c>
      <c r="I41">
        <v>57</v>
      </c>
      <c r="J41">
        <v>291</v>
      </c>
      <c r="K41">
        <v>756</v>
      </c>
      <c r="L41" s="3">
        <v>0.86399999999999999</v>
      </c>
      <c r="M41">
        <v>3.2</v>
      </c>
      <c r="N41" t="s">
        <v>18</v>
      </c>
      <c r="O41">
        <v>52</v>
      </c>
      <c r="P41">
        <v>1</v>
      </c>
    </row>
    <row r="42" spans="1:16" x14ac:dyDescent="0.25">
      <c r="A42" t="s">
        <v>87</v>
      </c>
      <c r="B42" t="s">
        <v>35</v>
      </c>
      <c r="C42" t="s">
        <v>16</v>
      </c>
      <c r="D42" t="s">
        <v>68</v>
      </c>
      <c r="E42">
        <v>72</v>
      </c>
      <c r="F42">
        <v>84</v>
      </c>
      <c r="G42">
        <v>88</v>
      </c>
      <c r="H42">
        <v>1436</v>
      </c>
      <c r="I42">
        <v>7</v>
      </c>
      <c r="J42">
        <v>265</v>
      </c>
      <c r="K42">
        <v>1206</v>
      </c>
      <c r="L42" s="3">
        <v>0.83899999999999997</v>
      </c>
      <c r="M42">
        <v>4.4000000000000004</v>
      </c>
      <c r="N42" t="s">
        <v>18</v>
      </c>
      <c r="O42">
        <v>16</v>
      </c>
      <c r="P42">
        <v>-4</v>
      </c>
    </row>
    <row r="43" spans="1:16" x14ac:dyDescent="0.25">
      <c r="A43" t="s">
        <v>88</v>
      </c>
      <c r="B43" t="s">
        <v>47</v>
      </c>
      <c r="C43" t="s">
        <v>39</v>
      </c>
      <c r="D43" t="s">
        <v>44</v>
      </c>
      <c r="E43">
        <v>69</v>
      </c>
      <c r="F43">
        <v>81</v>
      </c>
      <c r="G43">
        <v>69</v>
      </c>
      <c r="H43">
        <v>220</v>
      </c>
      <c r="I43">
        <v>46</v>
      </c>
      <c r="J43">
        <v>36</v>
      </c>
      <c r="K43">
        <v>160</v>
      </c>
      <c r="L43" s="3">
        <v>0.84799999999999998</v>
      </c>
      <c r="M43">
        <v>3.6</v>
      </c>
      <c r="N43" t="s">
        <v>26</v>
      </c>
      <c r="O43">
        <v>0</v>
      </c>
      <c r="P43">
        <v>12</v>
      </c>
    </row>
    <row r="44" spans="1:16" x14ac:dyDescent="0.25">
      <c r="A44" t="s">
        <v>89</v>
      </c>
      <c r="B44" t="s">
        <v>47</v>
      </c>
      <c r="C44" t="s">
        <v>74</v>
      </c>
      <c r="D44" t="s">
        <v>25</v>
      </c>
      <c r="E44">
        <v>45</v>
      </c>
      <c r="F44">
        <v>73</v>
      </c>
      <c r="G44">
        <v>49</v>
      </c>
      <c r="H44">
        <v>155</v>
      </c>
      <c r="I44">
        <v>33</v>
      </c>
      <c r="J44">
        <v>170</v>
      </c>
      <c r="K44">
        <v>112</v>
      </c>
      <c r="L44" s="3">
        <v>0.94199999999999995</v>
      </c>
      <c r="M44">
        <v>3.3</v>
      </c>
      <c r="N44" t="s">
        <v>65</v>
      </c>
      <c r="O44">
        <v>4</v>
      </c>
      <c r="P44">
        <v>24</v>
      </c>
    </row>
    <row r="45" spans="1:16" x14ac:dyDescent="0.25">
      <c r="A45" t="s">
        <v>90</v>
      </c>
      <c r="B45" t="s">
        <v>57</v>
      </c>
      <c r="C45" t="s">
        <v>55</v>
      </c>
      <c r="D45" t="s">
        <v>25</v>
      </c>
      <c r="E45">
        <v>44</v>
      </c>
      <c r="F45">
        <v>73</v>
      </c>
      <c r="G45">
        <v>62</v>
      </c>
      <c r="H45">
        <v>1539</v>
      </c>
      <c r="I45">
        <v>22</v>
      </c>
      <c r="J45">
        <v>125</v>
      </c>
      <c r="K45">
        <v>1112</v>
      </c>
      <c r="L45" s="3">
        <v>0.84399999999999997</v>
      </c>
      <c r="M45">
        <v>4.7</v>
      </c>
      <c r="N45" t="s">
        <v>26</v>
      </c>
      <c r="O45">
        <v>18</v>
      </c>
      <c r="P45">
        <v>11</v>
      </c>
    </row>
    <row r="46" spans="1:16" x14ac:dyDescent="0.25">
      <c r="A46" t="s">
        <v>91</v>
      </c>
      <c r="B46" t="s">
        <v>32</v>
      </c>
      <c r="C46" t="s">
        <v>36</v>
      </c>
      <c r="D46" t="s">
        <v>68</v>
      </c>
      <c r="E46">
        <v>65</v>
      </c>
      <c r="F46">
        <v>71</v>
      </c>
      <c r="G46">
        <v>83</v>
      </c>
      <c r="H46">
        <v>1029</v>
      </c>
      <c r="I46">
        <v>33</v>
      </c>
      <c r="J46">
        <v>64</v>
      </c>
      <c r="K46">
        <v>790</v>
      </c>
      <c r="L46" s="3">
        <v>0.95299999999999996</v>
      </c>
      <c r="M46">
        <v>3.6</v>
      </c>
      <c r="N46" t="s">
        <v>18</v>
      </c>
      <c r="O46">
        <v>18</v>
      </c>
      <c r="P46">
        <v>-12</v>
      </c>
    </row>
    <row r="47" spans="1:16" x14ac:dyDescent="0.25">
      <c r="A47" t="s">
        <v>92</v>
      </c>
      <c r="B47" t="s">
        <v>35</v>
      </c>
      <c r="C47" t="s">
        <v>48</v>
      </c>
      <c r="D47" t="s">
        <v>25</v>
      </c>
      <c r="E47">
        <v>51</v>
      </c>
      <c r="F47">
        <v>89</v>
      </c>
      <c r="G47">
        <v>76</v>
      </c>
      <c r="H47">
        <v>1470</v>
      </c>
      <c r="I47">
        <v>39</v>
      </c>
      <c r="J47">
        <v>348</v>
      </c>
      <c r="K47">
        <v>1073</v>
      </c>
      <c r="L47" s="3">
        <v>0.86799999999999999</v>
      </c>
      <c r="M47">
        <v>3.6</v>
      </c>
      <c r="N47" t="s">
        <v>26</v>
      </c>
      <c r="O47">
        <v>25</v>
      </c>
      <c r="P47">
        <v>13</v>
      </c>
    </row>
    <row r="48" spans="1:16" x14ac:dyDescent="0.25">
      <c r="A48" t="s">
        <v>93</v>
      </c>
      <c r="B48" t="s">
        <v>20</v>
      </c>
      <c r="C48" t="s">
        <v>63</v>
      </c>
      <c r="D48" t="s">
        <v>30</v>
      </c>
      <c r="E48">
        <v>61</v>
      </c>
      <c r="F48">
        <v>73</v>
      </c>
      <c r="G48">
        <v>73</v>
      </c>
      <c r="H48">
        <v>357</v>
      </c>
      <c r="I48">
        <v>61</v>
      </c>
      <c r="J48">
        <v>343</v>
      </c>
      <c r="K48">
        <v>265</v>
      </c>
      <c r="L48" s="3">
        <v>0.79700000000000004</v>
      </c>
      <c r="M48">
        <v>4.9000000000000004</v>
      </c>
      <c r="N48" t="s">
        <v>18</v>
      </c>
      <c r="O48">
        <v>12</v>
      </c>
      <c r="P48">
        <v>0</v>
      </c>
    </row>
    <row r="49" spans="1:16" x14ac:dyDescent="0.25">
      <c r="A49" t="s">
        <v>94</v>
      </c>
      <c r="B49" t="s">
        <v>15</v>
      </c>
      <c r="C49" t="s">
        <v>55</v>
      </c>
      <c r="D49" t="s">
        <v>30</v>
      </c>
      <c r="E49">
        <v>71</v>
      </c>
      <c r="F49">
        <v>72</v>
      </c>
      <c r="G49">
        <v>88</v>
      </c>
      <c r="H49">
        <v>1956</v>
      </c>
      <c r="I49">
        <v>64</v>
      </c>
      <c r="J49">
        <v>114</v>
      </c>
      <c r="K49">
        <v>1591</v>
      </c>
      <c r="L49" s="3">
        <v>0.91300000000000003</v>
      </c>
      <c r="M49">
        <v>3.9</v>
      </c>
      <c r="N49" t="s">
        <v>18</v>
      </c>
      <c r="O49">
        <v>17</v>
      </c>
      <c r="P49">
        <v>-16</v>
      </c>
    </row>
    <row r="50" spans="1:16" x14ac:dyDescent="0.25">
      <c r="A50" t="s">
        <v>95</v>
      </c>
      <c r="B50" t="s">
        <v>28</v>
      </c>
      <c r="C50" t="s">
        <v>16</v>
      </c>
      <c r="D50" t="s">
        <v>22</v>
      </c>
      <c r="E50">
        <v>53</v>
      </c>
      <c r="F50">
        <v>86</v>
      </c>
      <c r="G50">
        <v>100</v>
      </c>
      <c r="H50">
        <v>324</v>
      </c>
      <c r="I50">
        <v>34</v>
      </c>
      <c r="J50">
        <v>126</v>
      </c>
      <c r="K50">
        <v>242</v>
      </c>
      <c r="L50" s="3">
        <v>0.80800000000000005</v>
      </c>
      <c r="M50">
        <v>3.4</v>
      </c>
      <c r="N50" t="s">
        <v>18</v>
      </c>
      <c r="O50">
        <v>47</v>
      </c>
      <c r="P50">
        <v>-14</v>
      </c>
    </row>
    <row r="51" spans="1:16" x14ac:dyDescent="0.25">
      <c r="A51" t="s">
        <v>96</v>
      </c>
      <c r="B51" t="s">
        <v>15</v>
      </c>
      <c r="C51" t="s">
        <v>39</v>
      </c>
      <c r="D51" t="s">
        <v>22</v>
      </c>
      <c r="E51">
        <v>41</v>
      </c>
      <c r="F51">
        <v>86</v>
      </c>
      <c r="G51">
        <v>82</v>
      </c>
      <c r="H51">
        <v>1451</v>
      </c>
      <c r="I51">
        <v>68</v>
      </c>
      <c r="J51">
        <v>66</v>
      </c>
      <c r="K51">
        <v>1049</v>
      </c>
      <c r="L51" s="3">
        <v>0.94499999999999995</v>
      </c>
      <c r="M51">
        <v>3.6</v>
      </c>
      <c r="N51" t="s">
        <v>18</v>
      </c>
      <c r="O51">
        <v>41</v>
      </c>
      <c r="P51">
        <v>4</v>
      </c>
    </row>
    <row r="52" spans="1:16" x14ac:dyDescent="0.25">
      <c r="A52" t="s">
        <v>97</v>
      </c>
      <c r="B52" t="s">
        <v>47</v>
      </c>
      <c r="C52" t="s">
        <v>16</v>
      </c>
      <c r="D52" t="s">
        <v>30</v>
      </c>
      <c r="E52">
        <v>48</v>
      </c>
      <c r="F52">
        <v>95</v>
      </c>
      <c r="G52">
        <v>85</v>
      </c>
      <c r="H52">
        <v>91</v>
      </c>
      <c r="I52">
        <v>70</v>
      </c>
      <c r="J52">
        <v>302</v>
      </c>
      <c r="K52">
        <v>78</v>
      </c>
      <c r="L52" s="3">
        <v>0.91</v>
      </c>
      <c r="M52">
        <v>4.4000000000000004</v>
      </c>
      <c r="N52" t="s">
        <v>26</v>
      </c>
      <c r="O52">
        <v>37</v>
      </c>
      <c r="P52">
        <v>10</v>
      </c>
    </row>
    <row r="53" spans="1:16" x14ac:dyDescent="0.25">
      <c r="A53" t="s">
        <v>98</v>
      </c>
      <c r="B53" t="s">
        <v>35</v>
      </c>
      <c r="C53" t="s">
        <v>48</v>
      </c>
      <c r="D53" t="s">
        <v>44</v>
      </c>
      <c r="E53">
        <v>67</v>
      </c>
      <c r="F53">
        <v>94</v>
      </c>
      <c r="G53">
        <v>87</v>
      </c>
      <c r="H53">
        <v>1199</v>
      </c>
      <c r="I53">
        <v>13</v>
      </c>
      <c r="J53">
        <v>317</v>
      </c>
      <c r="K53">
        <v>877</v>
      </c>
      <c r="L53" s="3">
        <v>0.91400000000000003</v>
      </c>
      <c r="M53">
        <v>4.5</v>
      </c>
      <c r="N53" t="s">
        <v>18</v>
      </c>
      <c r="O53">
        <v>20</v>
      </c>
      <c r="P53">
        <v>7</v>
      </c>
    </row>
    <row r="54" spans="1:16" x14ac:dyDescent="0.25">
      <c r="A54" t="s">
        <v>99</v>
      </c>
      <c r="B54" t="s">
        <v>57</v>
      </c>
      <c r="C54" t="s">
        <v>41</v>
      </c>
      <c r="D54" t="s">
        <v>44</v>
      </c>
      <c r="E54">
        <v>51</v>
      </c>
      <c r="F54">
        <v>94</v>
      </c>
      <c r="G54">
        <v>81</v>
      </c>
      <c r="H54">
        <v>1577</v>
      </c>
      <c r="I54">
        <v>69</v>
      </c>
      <c r="J54">
        <v>31</v>
      </c>
      <c r="K54">
        <v>1208</v>
      </c>
      <c r="L54" s="3">
        <v>0.88</v>
      </c>
      <c r="M54">
        <v>3.2</v>
      </c>
      <c r="N54" t="s">
        <v>26</v>
      </c>
      <c r="O54">
        <v>30</v>
      </c>
      <c r="P54">
        <v>13</v>
      </c>
    </row>
    <row r="55" spans="1:16" x14ac:dyDescent="0.25">
      <c r="A55" t="s">
        <v>100</v>
      </c>
      <c r="B55" t="s">
        <v>20</v>
      </c>
      <c r="C55" t="s">
        <v>48</v>
      </c>
      <c r="D55" t="s">
        <v>22</v>
      </c>
      <c r="E55">
        <v>68</v>
      </c>
      <c r="F55">
        <v>71</v>
      </c>
      <c r="G55">
        <v>79</v>
      </c>
      <c r="H55">
        <v>400</v>
      </c>
      <c r="I55">
        <v>54</v>
      </c>
      <c r="J55">
        <v>143</v>
      </c>
      <c r="K55">
        <v>361</v>
      </c>
      <c r="L55" s="3">
        <v>0.88600000000000001</v>
      </c>
      <c r="M55">
        <v>4.3</v>
      </c>
      <c r="N55" t="s">
        <v>18</v>
      </c>
      <c r="O55">
        <v>11</v>
      </c>
      <c r="P55">
        <v>-8</v>
      </c>
    </row>
    <row r="56" spans="1:16" x14ac:dyDescent="0.25">
      <c r="A56" t="s">
        <v>101</v>
      </c>
      <c r="B56" t="s">
        <v>20</v>
      </c>
      <c r="C56" t="s">
        <v>51</v>
      </c>
      <c r="D56" t="s">
        <v>44</v>
      </c>
      <c r="E56">
        <v>58</v>
      </c>
      <c r="F56">
        <v>84</v>
      </c>
      <c r="G56">
        <v>81</v>
      </c>
      <c r="H56">
        <v>2252</v>
      </c>
      <c r="I56">
        <v>27</v>
      </c>
      <c r="J56">
        <v>129</v>
      </c>
      <c r="K56">
        <v>1534</v>
      </c>
      <c r="L56" s="3">
        <v>0.90900000000000003</v>
      </c>
      <c r="M56">
        <v>3.8</v>
      </c>
      <c r="N56" t="s">
        <v>18</v>
      </c>
      <c r="O56">
        <v>23</v>
      </c>
      <c r="P56">
        <v>3</v>
      </c>
    </row>
    <row r="57" spans="1:16" x14ac:dyDescent="0.25">
      <c r="A57" t="s">
        <v>102</v>
      </c>
      <c r="B57" t="s">
        <v>35</v>
      </c>
      <c r="C57" t="s">
        <v>48</v>
      </c>
      <c r="D57" t="s">
        <v>44</v>
      </c>
      <c r="E57">
        <v>74</v>
      </c>
      <c r="F57">
        <v>73</v>
      </c>
      <c r="G57">
        <v>78</v>
      </c>
      <c r="H57">
        <v>2333</v>
      </c>
      <c r="I57">
        <v>64</v>
      </c>
      <c r="J57">
        <v>236</v>
      </c>
      <c r="K57">
        <v>1767</v>
      </c>
      <c r="L57" s="3">
        <v>0.96</v>
      </c>
      <c r="M57">
        <v>4.2</v>
      </c>
      <c r="N57" t="s">
        <v>18</v>
      </c>
      <c r="O57">
        <v>4</v>
      </c>
      <c r="P57">
        <v>-5</v>
      </c>
    </row>
    <row r="58" spans="1:16" x14ac:dyDescent="0.25">
      <c r="A58" t="s">
        <v>103</v>
      </c>
      <c r="B58" t="s">
        <v>35</v>
      </c>
      <c r="C58" t="s">
        <v>33</v>
      </c>
      <c r="D58" t="s">
        <v>17</v>
      </c>
      <c r="E58">
        <v>61</v>
      </c>
      <c r="F58">
        <v>82</v>
      </c>
      <c r="G58">
        <v>69</v>
      </c>
      <c r="H58">
        <v>1858</v>
      </c>
      <c r="I58">
        <v>73</v>
      </c>
      <c r="J58">
        <v>106</v>
      </c>
      <c r="K58">
        <v>1569</v>
      </c>
      <c r="L58" s="3">
        <v>0.85399999999999998</v>
      </c>
      <c r="M58">
        <v>3.4</v>
      </c>
      <c r="N58" t="s">
        <v>26</v>
      </c>
      <c r="O58">
        <v>8</v>
      </c>
      <c r="P58">
        <v>13</v>
      </c>
    </row>
    <row r="59" spans="1:16" x14ac:dyDescent="0.25">
      <c r="A59" t="s">
        <v>104</v>
      </c>
      <c r="B59" t="s">
        <v>38</v>
      </c>
      <c r="C59" t="s">
        <v>36</v>
      </c>
      <c r="D59" t="s">
        <v>68</v>
      </c>
      <c r="E59">
        <v>73</v>
      </c>
      <c r="F59">
        <v>71</v>
      </c>
      <c r="G59">
        <v>73</v>
      </c>
      <c r="H59">
        <v>2236</v>
      </c>
      <c r="I59">
        <v>30</v>
      </c>
      <c r="J59">
        <v>123</v>
      </c>
      <c r="K59">
        <v>1678</v>
      </c>
      <c r="L59" s="3">
        <v>0.84399999999999997</v>
      </c>
      <c r="M59">
        <v>4.7</v>
      </c>
      <c r="N59" t="s">
        <v>18</v>
      </c>
      <c r="O59">
        <v>0</v>
      </c>
      <c r="P59">
        <v>-2</v>
      </c>
    </row>
    <row r="60" spans="1:16" x14ac:dyDescent="0.25">
      <c r="A60" t="s">
        <v>105</v>
      </c>
      <c r="B60" t="s">
        <v>57</v>
      </c>
      <c r="C60" t="s">
        <v>24</v>
      </c>
      <c r="D60" t="s">
        <v>17</v>
      </c>
      <c r="E60">
        <v>57</v>
      </c>
      <c r="F60">
        <v>88</v>
      </c>
      <c r="G60">
        <v>97</v>
      </c>
      <c r="H60">
        <v>2065</v>
      </c>
      <c r="I60">
        <v>48</v>
      </c>
      <c r="J60">
        <v>344</v>
      </c>
      <c r="K60">
        <v>1623</v>
      </c>
      <c r="L60" s="3">
        <v>0.83199999999999996</v>
      </c>
      <c r="M60">
        <v>3.4</v>
      </c>
      <c r="N60" t="s">
        <v>18</v>
      </c>
      <c r="O60">
        <v>40</v>
      </c>
      <c r="P60">
        <v>-9</v>
      </c>
    </row>
    <row r="61" spans="1:16" x14ac:dyDescent="0.25">
      <c r="A61" t="s">
        <v>106</v>
      </c>
      <c r="B61" t="s">
        <v>32</v>
      </c>
      <c r="C61" t="s">
        <v>33</v>
      </c>
      <c r="D61" t="s">
        <v>30</v>
      </c>
      <c r="E61">
        <v>61</v>
      </c>
      <c r="F61">
        <v>80</v>
      </c>
      <c r="G61">
        <v>78</v>
      </c>
      <c r="H61">
        <v>2038</v>
      </c>
      <c r="I61">
        <v>57</v>
      </c>
      <c r="J61">
        <v>73</v>
      </c>
      <c r="K61">
        <v>1947</v>
      </c>
      <c r="L61" s="3">
        <v>0.99399999999999999</v>
      </c>
      <c r="M61">
        <v>4.2</v>
      </c>
      <c r="N61" t="s">
        <v>18</v>
      </c>
      <c r="O61">
        <v>17</v>
      </c>
      <c r="P61">
        <v>2</v>
      </c>
    </row>
    <row r="62" spans="1:16" x14ac:dyDescent="0.25">
      <c r="A62" t="s">
        <v>107</v>
      </c>
      <c r="B62" t="s">
        <v>38</v>
      </c>
      <c r="C62" t="s">
        <v>21</v>
      </c>
      <c r="D62" t="s">
        <v>22</v>
      </c>
      <c r="E62">
        <v>30</v>
      </c>
      <c r="F62">
        <v>86</v>
      </c>
      <c r="G62">
        <v>93</v>
      </c>
      <c r="H62">
        <v>87</v>
      </c>
      <c r="I62">
        <v>32</v>
      </c>
      <c r="J62">
        <v>131</v>
      </c>
      <c r="K62">
        <v>60</v>
      </c>
      <c r="L62" s="3">
        <v>0.91600000000000004</v>
      </c>
      <c r="M62">
        <v>3.4</v>
      </c>
      <c r="N62" t="s">
        <v>18</v>
      </c>
      <c r="O62">
        <v>63</v>
      </c>
      <c r="P62">
        <v>-7</v>
      </c>
    </row>
    <row r="63" spans="1:16" x14ac:dyDescent="0.25">
      <c r="A63" t="s">
        <v>108</v>
      </c>
      <c r="B63" t="s">
        <v>32</v>
      </c>
      <c r="C63" t="s">
        <v>48</v>
      </c>
      <c r="D63" t="s">
        <v>25</v>
      </c>
      <c r="E63">
        <v>38</v>
      </c>
      <c r="F63">
        <v>76</v>
      </c>
      <c r="G63">
        <v>71</v>
      </c>
      <c r="H63">
        <v>1875</v>
      </c>
      <c r="I63">
        <v>22</v>
      </c>
      <c r="J63">
        <v>121</v>
      </c>
      <c r="K63">
        <v>1279</v>
      </c>
      <c r="L63" s="3">
        <v>0.94799999999999995</v>
      </c>
      <c r="M63">
        <v>4.3</v>
      </c>
      <c r="N63" t="s">
        <v>18</v>
      </c>
      <c r="O63">
        <v>33</v>
      </c>
      <c r="P63">
        <v>5</v>
      </c>
    </row>
    <row r="64" spans="1:16" x14ac:dyDescent="0.25">
      <c r="A64" t="s">
        <v>109</v>
      </c>
      <c r="B64" t="s">
        <v>20</v>
      </c>
      <c r="C64" t="s">
        <v>16</v>
      </c>
      <c r="D64" t="s">
        <v>44</v>
      </c>
      <c r="E64">
        <v>74</v>
      </c>
      <c r="F64">
        <v>91</v>
      </c>
      <c r="G64">
        <v>79</v>
      </c>
      <c r="H64">
        <v>937</v>
      </c>
      <c r="I64">
        <v>29</v>
      </c>
      <c r="J64">
        <v>318</v>
      </c>
      <c r="K64">
        <v>700</v>
      </c>
      <c r="L64" s="3">
        <v>0.94599999999999995</v>
      </c>
      <c r="M64">
        <v>4.3</v>
      </c>
      <c r="N64" t="s">
        <v>26</v>
      </c>
      <c r="O64">
        <v>5</v>
      </c>
      <c r="P64">
        <v>12</v>
      </c>
    </row>
    <row r="65" spans="1:16" x14ac:dyDescent="0.25">
      <c r="A65" t="s">
        <v>110</v>
      </c>
      <c r="B65" t="s">
        <v>15</v>
      </c>
      <c r="C65" t="s">
        <v>16</v>
      </c>
      <c r="D65" t="s">
        <v>17</v>
      </c>
      <c r="E65">
        <v>44</v>
      </c>
      <c r="F65">
        <v>92</v>
      </c>
      <c r="G65">
        <v>80</v>
      </c>
      <c r="H65">
        <v>1882</v>
      </c>
      <c r="I65">
        <v>29</v>
      </c>
      <c r="J65">
        <v>61</v>
      </c>
      <c r="K65">
        <v>1763</v>
      </c>
      <c r="L65" s="3">
        <v>0.78900000000000003</v>
      </c>
      <c r="M65">
        <v>4</v>
      </c>
      <c r="N65" t="s">
        <v>26</v>
      </c>
      <c r="O65">
        <v>36</v>
      </c>
      <c r="P65">
        <v>12</v>
      </c>
    </row>
    <row r="66" spans="1:16" x14ac:dyDescent="0.25">
      <c r="A66" t="s">
        <v>111</v>
      </c>
      <c r="B66" t="s">
        <v>35</v>
      </c>
      <c r="C66" t="s">
        <v>48</v>
      </c>
      <c r="D66" t="s">
        <v>44</v>
      </c>
      <c r="E66">
        <v>67</v>
      </c>
      <c r="F66">
        <v>86</v>
      </c>
      <c r="G66">
        <v>90</v>
      </c>
      <c r="H66">
        <v>1335</v>
      </c>
      <c r="I66">
        <v>75</v>
      </c>
      <c r="J66">
        <v>71</v>
      </c>
      <c r="K66">
        <v>1208</v>
      </c>
      <c r="L66" s="3">
        <v>0.85799999999999998</v>
      </c>
      <c r="M66">
        <v>4.3</v>
      </c>
      <c r="N66" t="s">
        <v>18</v>
      </c>
      <c r="O66">
        <v>23</v>
      </c>
      <c r="P66">
        <v>-4</v>
      </c>
    </row>
    <row r="67" spans="1:16" x14ac:dyDescent="0.25">
      <c r="A67" t="s">
        <v>112</v>
      </c>
      <c r="B67" t="s">
        <v>32</v>
      </c>
      <c r="C67" t="s">
        <v>16</v>
      </c>
      <c r="D67" t="s">
        <v>68</v>
      </c>
      <c r="E67">
        <v>55</v>
      </c>
      <c r="F67">
        <v>75</v>
      </c>
      <c r="G67">
        <v>73</v>
      </c>
      <c r="H67">
        <v>1981</v>
      </c>
      <c r="I67">
        <v>15</v>
      </c>
      <c r="J67">
        <v>70</v>
      </c>
      <c r="K67">
        <v>1919</v>
      </c>
      <c r="L67" s="3">
        <v>0.78500000000000003</v>
      </c>
      <c r="M67">
        <v>3.7</v>
      </c>
      <c r="N67" t="s">
        <v>18</v>
      </c>
      <c r="O67">
        <v>18</v>
      </c>
      <c r="P67">
        <v>2</v>
      </c>
    </row>
    <row r="68" spans="1:16" x14ac:dyDescent="0.25">
      <c r="A68" t="s">
        <v>113</v>
      </c>
      <c r="B68" t="s">
        <v>20</v>
      </c>
      <c r="C68" t="s">
        <v>63</v>
      </c>
      <c r="D68" t="s">
        <v>25</v>
      </c>
      <c r="E68">
        <v>33</v>
      </c>
      <c r="F68">
        <v>80</v>
      </c>
      <c r="G68">
        <v>78</v>
      </c>
      <c r="H68">
        <v>1737</v>
      </c>
      <c r="I68">
        <v>14</v>
      </c>
      <c r="J68">
        <v>234</v>
      </c>
      <c r="K68">
        <v>1609</v>
      </c>
      <c r="L68" s="3">
        <v>0.84799999999999998</v>
      </c>
      <c r="M68">
        <v>4.2</v>
      </c>
      <c r="N68" t="s">
        <v>18</v>
      </c>
      <c r="O68">
        <v>45</v>
      </c>
      <c r="P68">
        <v>2</v>
      </c>
    </row>
    <row r="69" spans="1:16" x14ac:dyDescent="0.25">
      <c r="A69" t="s">
        <v>114</v>
      </c>
      <c r="B69" t="s">
        <v>20</v>
      </c>
      <c r="C69" t="s">
        <v>63</v>
      </c>
      <c r="D69" t="s">
        <v>22</v>
      </c>
      <c r="E69">
        <v>58</v>
      </c>
      <c r="F69">
        <v>88</v>
      </c>
      <c r="G69">
        <v>88</v>
      </c>
      <c r="H69">
        <v>2461</v>
      </c>
      <c r="I69">
        <v>38</v>
      </c>
      <c r="J69">
        <v>305</v>
      </c>
      <c r="K69">
        <v>2029</v>
      </c>
      <c r="L69" s="3">
        <v>0.80300000000000005</v>
      </c>
      <c r="M69">
        <v>3.4</v>
      </c>
      <c r="N69" t="s">
        <v>18</v>
      </c>
      <c r="O69">
        <v>30</v>
      </c>
      <c r="P69">
        <v>0</v>
      </c>
    </row>
    <row r="70" spans="1:16" x14ac:dyDescent="0.25">
      <c r="A70" t="s">
        <v>115</v>
      </c>
      <c r="B70" t="s">
        <v>32</v>
      </c>
      <c r="C70" t="s">
        <v>41</v>
      </c>
      <c r="D70" t="s">
        <v>25</v>
      </c>
      <c r="E70">
        <v>44</v>
      </c>
      <c r="F70">
        <v>83</v>
      </c>
      <c r="G70">
        <v>76</v>
      </c>
      <c r="H70">
        <v>586</v>
      </c>
      <c r="I70">
        <v>50</v>
      </c>
      <c r="J70">
        <v>200</v>
      </c>
      <c r="K70">
        <v>471</v>
      </c>
      <c r="L70" s="3">
        <v>0.91900000000000004</v>
      </c>
      <c r="M70">
        <v>3.3</v>
      </c>
      <c r="N70" t="s">
        <v>18</v>
      </c>
      <c r="O70">
        <v>32</v>
      </c>
      <c r="P70">
        <v>7</v>
      </c>
    </row>
    <row r="71" spans="1:16" x14ac:dyDescent="0.25">
      <c r="A71" t="s">
        <v>116</v>
      </c>
      <c r="B71" t="s">
        <v>15</v>
      </c>
      <c r="C71" t="s">
        <v>74</v>
      </c>
      <c r="D71" t="s">
        <v>68</v>
      </c>
      <c r="E71">
        <v>36</v>
      </c>
      <c r="F71">
        <v>91</v>
      </c>
      <c r="G71">
        <v>96</v>
      </c>
      <c r="H71">
        <v>1952</v>
      </c>
      <c r="I71">
        <v>44</v>
      </c>
      <c r="J71">
        <v>349</v>
      </c>
      <c r="K71">
        <v>1594</v>
      </c>
      <c r="L71" s="3">
        <v>0.90900000000000003</v>
      </c>
      <c r="M71">
        <v>4.2</v>
      </c>
      <c r="N71" t="s">
        <v>18</v>
      </c>
      <c r="O71">
        <v>60</v>
      </c>
      <c r="P71">
        <v>-5</v>
      </c>
    </row>
    <row r="72" spans="1:16" x14ac:dyDescent="0.25">
      <c r="A72" t="s">
        <v>117</v>
      </c>
      <c r="B72" t="s">
        <v>35</v>
      </c>
      <c r="C72" t="s">
        <v>48</v>
      </c>
      <c r="D72" t="s">
        <v>17</v>
      </c>
      <c r="E72">
        <v>62</v>
      </c>
      <c r="F72">
        <v>70</v>
      </c>
      <c r="G72">
        <v>70</v>
      </c>
      <c r="H72">
        <v>1619</v>
      </c>
      <c r="I72">
        <v>20</v>
      </c>
      <c r="J72">
        <v>151</v>
      </c>
      <c r="K72">
        <v>1170</v>
      </c>
      <c r="L72" s="3">
        <v>0.79300000000000004</v>
      </c>
      <c r="M72">
        <v>4.0999999999999996</v>
      </c>
      <c r="N72" t="s">
        <v>18</v>
      </c>
      <c r="O72">
        <v>8</v>
      </c>
      <c r="P72">
        <v>0</v>
      </c>
    </row>
    <row r="73" spans="1:16" x14ac:dyDescent="0.25">
      <c r="A73" t="s">
        <v>118</v>
      </c>
      <c r="B73" t="s">
        <v>28</v>
      </c>
      <c r="C73" t="s">
        <v>41</v>
      </c>
      <c r="D73" t="s">
        <v>68</v>
      </c>
      <c r="E73">
        <v>64</v>
      </c>
      <c r="F73">
        <v>77</v>
      </c>
      <c r="G73">
        <v>64</v>
      </c>
      <c r="H73">
        <v>999</v>
      </c>
      <c r="I73">
        <v>39</v>
      </c>
      <c r="J73">
        <v>263</v>
      </c>
      <c r="K73">
        <v>677</v>
      </c>
      <c r="L73" s="3">
        <v>0.90200000000000002</v>
      </c>
      <c r="M73">
        <v>4.7</v>
      </c>
      <c r="N73" t="s">
        <v>26</v>
      </c>
      <c r="O73">
        <v>0</v>
      </c>
      <c r="P73">
        <v>13</v>
      </c>
    </row>
    <row r="74" spans="1:16" x14ac:dyDescent="0.25">
      <c r="A74" t="s">
        <v>119</v>
      </c>
      <c r="B74" t="s">
        <v>28</v>
      </c>
      <c r="C74" t="s">
        <v>16</v>
      </c>
      <c r="D74" t="s">
        <v>30</v>
      </c>
      <c r="E74">
        <v>58</v>
      </c>
      <c r="F74">
        <v>85</v>
      </c>
      <c r="G74">
        <v>91</v>
      </c>
      <c r="H74">
        <v>2387</v>
      </c>
      <c r="I74">
        <v>40</v>
      </c>
      <c r="J74">
        <v>36</v>
      </c>
      <c r="K74">
        <v>1989</v>
      </c>
      <c r="L74" s="3">
        <v>0.84899999999999998</v>
      </c>
      <c r="M74">
        <v>4</v>
      </c>
      <c r="N74" t="s">
        <v>18</v>
      </c>
      <c r="O74">
        <v>33</v>
      </c>
      <c r="P74">
        <v>-6</v>
      </c>
    </row>
    <row r="75" spans="1:16" x14ac:dyDescent="0.25">
      <c r="A75" t="s">
        <v>120</v>
      </c>
      <c r="B75" t="s">
        <v>20</v>
      </c>
      <c r="C75" t="s">
        <v>80</v>
      </c>
      <c r="D75" t="s">
        <v>30</v>
      </c>
      <c r="E75">
        <v>59</v>
      </c>
      <c r="F75">
        <v>91</v>
      </c>
      <c r="G75">
        <v>88</v>
      </c>
      <c r="H75">
        <v>1169</v>
      </c>
      <c r="I75">
        <v>15</v>
      </c>
      <c r="J75">
        <v>241</v>
      </c>
      <c r="K75">
        <v>907</v>
      </c>
      <c r="L75" s="3">
        <v>0.84599999999999997</v>
      </c>
      <c r="M75">
        <v>3.5</v>
      </c>
      <c r="N75" t="s">
        <v>18</v>
      </c>
      <c r="O75">
        <v>29</v>
      </c>
      <c r="P75">
        <v>3</v>
      </c>
    </row>
    <row r="76" spans="1:16" x14ac:dyDescent="0.25">
      <c r="A76" t="s">
        <v>121</v>
      </c>
      <c r="B76" t="s">
        <v>38</v>
      </c>
      <c r="C76" t="s">
        <v>74</v>
      </c>
      <c r="D76" t="s">
        <v>22</v>
      </c>
      <c r="E76">
        <v>52</v>
      </c>
      <c r="F76">
        <v>95</v>
      </c>
      <c r="G76">
        <v>96</v>
      </c>
      <c r="H76">
        <v>1815</v>
      </c>
      <c r="I76">
        <v>27</v>
      </c>
      <c r="J76">
        <v>105</v>
      </c>
      <c r="K76">
        <v>1478</v>
      </c>
      <c r="L76" s="3">
        <v>0.871</v>
      </c>
      <c r="M76">
        <v>4.9000000000000004</v>
      </c>
      <c r="N76" t="s">
        <v>18</v>
      </c>
      <c r="O76">
        <v>44</v>
      </c>
      <c r="P76">
        <v>-1</v>
      </c>
    </row>
    <row r="77" spans="1:16" x14ac:dyDescent="0.25">
      <c r="A77" t="s">
        <v>122</v>
      </c>
      <c r="B77" t="s">
        <v>20</v>
      </c>
      <c r="C77" t="s">
        <v>24</v>
      </c>
      <c r="D77" t="s">
        <v>22</v>
      </c>
      <c r="E77">
        <v>39</v>
      </c>
      <c r="F77">
        <v>74</v>
      </c>
      <c r="G77">
        <v>61</v>
      </c>
      <c r="H77">
        <v>1627</v>
      </c>
      <c r="I77">
        <v>30</v>
      </c>
      <c r="J77">
        <v>265</v>
      </c>
      <c r="K77">
        <v>1106</v>
      </c>
      <c r="L77" s="3">
        <v>0.95499999999999996</v>
      </c>
      <c r="M77">
        <v>3.7</v>
      </c>
      <c r="N77" t="s">
        <v>26</v>
      </c>
      <c r="O77">
        <v>22</v>
      </c>
      <c r="P77">
        <v>13</v>
      </c>
    </row>
    <row r="78" spans="1:16" x14ac:dyDescent="0.25">
      <c r="A78" t="s">
        <v>123</v>
      </c>
      <c r="B78" t="s">
        <v>57</v>
      </c>
      <c r="C78" t="s">
        <v>48</v>
      </c>
      <c r="D78" t="s">
        <v>22</v>
      </c>
      <c r="E78">
        <v>68</v>
      </c>
      <c r="F78">
        <v>90</v>
      </c>
      <c r="G78">
        <v>84</v>
      </c>
      <c r="H78">
        <v>501</v>
      </c>
      <c r="I78">
        <v>40</v>
      </c>
      <c r="J78">
        <v>205</v>
      </c>
      <c r="K78">
        <v>403</v>
      </c>
      <c r="L78" s="3">
        <v>0.79</v>
      </c>
      <c r="M78">
        <v>4.5999999999999996</v>
      </c>
      <c r="N78" t="s">
        <v>18</v>
      </c>
      <c r="O78">
        <v>16</v>
      </c>
      <c r="P78">
        <v>6</v>
      </c>
    </row>
    <row r="79" spans="1:16" x14ac:dyDescent="0.25">
      <c r="A79" t="s">
        <v>124</v>
      </c>
      <c r="B79" t="s">
        <v>32</v>
      </c>
      <c r="C79" t="s">
        <v>51</v>
      </c>
      <c r="D79" t="s">
        <v>17</v>
      </c>
      <c r="E79">
        <v>33</v>
      </c>
      <c r="F79">
        <v>86</v>
      </c>
      <c r="G79">
        <v>68</v>
      </c>
      <c r="H79">
        <v>1201</v>
      </c>
      <c r="I79">
        <v>25</v>
      </c>
      <c r="J79">
        <v>191</v>
      </c>
      <c r="K79">
        <v>1173</v>
      </c>
      <c r="L79" s="3">
        <v>0.88</v>
      </c>
      <c r="M79">
        <v>4</v>
      </c>
      <c r="N79" t="s">
        <v>26</v>
      </c>
      <c r="O79">
        <v>35</v>
      </c>
      <c r="P79">
        <v>18</v>
      </c>
    </row>
    <row r="80" spans="1:16" x14ac:dyDescent="0.25">
      <c r="A80" t="s">
        <v>125</v>
      </c>
      <c r="B80" t="s">
        <v>57</v>
      </c>
      <c r="C80" t="s">
        <v>39</v>
      </c>
      <c r="D80" t="s">
        <v>17</v>
      </c>
      <c r="E80">
        <v>43</v>
      </c>
      <c r="F80">
        <v>76</v>
      </c>
      <c r="G80">
        <v>58</v>
      </c>
      <c r="H80">
        <v>1734</v>
      </c>
      <c r="I80">
        <v>52</v>
      </c>
      <c r="J80">
        <v>284</v>
      </c>
      <c r="K80">
        <v>1139</v>
      </c>
      <c r="L80" s="3">
        <v>0.95599999999999996</v>
      </c>
      <c r="M80">
        <v>4.5999999999999996</v>
      </c>
      <c r="N80" t="s">
        <v>26</v>
      </c>
      <c r="O80">
        <v>15</v>
      </c>
      <c r="P80">
        <v>18</v>
      </c>
    </row>
    <row r="81" spans="1:16" x14ac:dyDescent="0.25">
      <c r="A81" t="s">
        <v>126</v>
      </c>
      <c r="B81" t="s">
        <v>57</v>
      </c>
      <c r="C81" t="s">
        <v>21</v>
      </c>
      <c r="D81" t="s">
        <v>22</v>
      </c>
      <c r="E81">
        <v>61</v>
      </c>
      <c r="F81">
        <v>79</v>
      </c>
      <c r="G81">
        <v>80</v>
      </c>
      <c r="H81">
        <v>969</v>
      </c>
      <c r="I81">
        <v>18</v>
      </c>
      <c r="J81">
        <v>142</v>
      </c>
      <c r="K81">
        <v>685</v>
      </c>
      <c r="L81" s="3">
        <v>0.82</v>
      </c>
      <c r="M81">
        <v>3.5</v>
      </c>
      <c r="N81" t="s">
        <v>18</v>
      </c>
      <c r="O81">
        <v>19</v>
      </c>
      <c r="P8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6945-A8FA-452C-8396-C058E024C08F}">
  <dimension ref="A1:U82"/>
  <sheetViews>
    <sheetView workbookViewId="0">
      <pane ySplit="2" topLeftCell="A3" activePane="bottomLeft" state="frozen"/>
      <selection pane="bottomLeft" activeCell="G13" sqref="G13"/>
    </sheetView>
  </sheetViews>
  <sheetFormatPr defaultColWidth="28.140625" defaultRowHeight="15" x14ac:dyDescent="0.25"/>
  <cols>
    <col min="1" max="1" width="12.5703125" bestFit="1" customWidth="1"/>
    <col min="2" max="2" width="36.5703125" bestFit="1" customWidth="1"/>
    <col min="3" max="3" width="10.7109375" bestFit="1" customWidth="1"/>
    <col min="4" max="4" width="28" bestFit="1" customWidth="1"/>
    <col min="5" max="5" width="13.42578125" bestFit="1" customWidth="1"/>
    <col min="6" max="6" width="11.28515625" bestFit="1" customWidth="1"/>
    <col min="7" max="7" width="25.85546875" customWidth="1"/>
    <col min="8" max="8" width="15.140625" customWidth="1"/>
    <col min="9" max="9" width="21.28515625" customWidth="1"/>
    <col min="10" max="10" width="17.28515625" customWidth="1"/>
    <col min="11" max="11" width="38.42578125" customWidth="1"/>
    <col min="12" max="12" width="20.140625" customWidth="1"/>
    <col min="13" max="13" width="25.85546875" customWidth="1"/>
    <col min="14" max="14" width="23" customWidth="1"/>
    <col min="15" max="15" width="19.85546875" customWidth="1"/>
    <col min="16" max="16" width="13.28515625" customWidth="1"/>
    <col min="17" max="17" width="27" bestFit="1" customWidth="1"/>
    <col min="18" max="18" width="28.7109375" bestFit="1" customWidth="1"/>
    <col min="19" max="19" width="30.7109375" bestFit="1" customWidth="1"/>
    <col min="20" max="20" width="53.85546875" bestFit="1" customWidth="1"/>
  </cols>
  <sheetData>
    <row r="1" spans="1:21" ht="15.75" x14ac:dyDescent="0.25">
      <c r="A1" s="21" t="s">
        <v>131</v>
      </c>
      <c r="B1" s="21"/>
      <c r="C1" s="21"/>
      <c r="D1" s="21"/>
      <c r="E1" s="21"/>
      <c r="F1" s="21"/>
      <c r="G1" s="21"/>
      <c r="H1" s="21"/>
      <c r="I1" s="21"/>
      <c r="J1" s="21"/>
      <c r="K1" s="21"/>
      <c r="L1" s="21"/>
      <c r="M1" s="21"/>
      <c r="N1" s="21"/>
      <c r="O1" s="21"/>
      <c r="P1" s="21"/>
      <c r="Q1" s="21"/>
      <c r="R1" s="21"/>
      <c r="S1" s="21"/>
      <c r="T1" s="21"/>
      <c r="U1" s="21"/>
    </row>
    <row r="2" spans="1:21" x14ac:dyDescent="0.25">
      <c r="A2" s="4" t="s">
        <v>127</v>
      </c>
      <c r="B2" s="4" t="s">
        <v>0</v>
      </c>
      <c r="C2" s="4" t="s">
        <v>1</v>
      </c>
      <c r="D2" s="4" t="s">
        <v>2</v>
      </c>
      <c r="E2" s="4" t="s">
        <v>161</v>
      </c>
      <c r="F2" s="4" t="s">
        <v>4</v>
      </c>
      <c r="G2" s="4" t="s">
        <v>5</v>
      </c>
      <c r="H2" s="4" t="s">
        <v>6</v>
      </c>
      <c r="I2" s="4" t="s">
        <v>7</v>
      </c>
      <c r="J2" s="4" t="s">
        <v>8</v>
      </c>
      <c r="K2" s="4" t="s">
        <v>9</v>
      </c>
      <c r="L2" s="4" t="s">
        <v>10</v>
      </c>
      <c r="M2" s="4" t="s">
        <v>128</v>
      </c>
      <c r="N2" s="4" t="s">
        <v>12</v>
      </c>
      <c r="O2" s="4" t="s">
        <v>132</v>
      </c>
      <c r="P2" s="4" t="s">
        <v>145</v>
      </c>
      <c r="Q2" s="4" t="s">
        <v>146</v>
      </c>
      <c r="R2" s="4" t="s">
        <v>151</v>
      </c>
      <c r="S2" s="4" t="s">
        <v>155</v>
      </c>
      <c r="T2" s="4" t="s">
        <v>159</v>
      </c>
      <c r="U2" s="4" t="s">
        <v>160</v>
      </c>
    </row>
    <row r="3" spans="1:21" x14ac:dyDescent="0.25">
      <c r="A3" t="s">
        <v>14</v>
      </c>
      <c r="B3" t="s">
        <v>15</v>
      </c>
      <c r="C3" t="s">
        <v>16</v>
      </c>
      <c r="D3" t="s">
        <v>17</v>
      </c>
      <c r="E3">
        <v>61</v>
      </c>
      <c r="F3">
        <v>74</v>
      </c>
      <c r="G3">
        <v>85</v>
      </c>
      <c r="H3">
        <v>2365</v>
      </c>
      <c r="I3">
        <v>27</v>
      </c>
      <c r="J3">
        <v>131</v>
      </c>
      <c r="K3">
        <v>1681</v>
      </c>
      <c r="L3" s="3">
        <v>0.96799999999999997</v>
      </c>
      <c r="M3">
        <v>4</v>
      </c>
      <c r="N3">
        <v>24</v>
      </c>
      <c r="O3">
        <f>Table1[[#This Row],[Current_Achievement_%]]-Table1[[#This Row],[Baseline_pct]]</f>
        <v>24</v>
      </c>
      <c r="P3">
        <f>Table1[[#This Row],[Current_Achievement_%]]-Table1[[#This Row],[Target_%]]</f>
        <v>11</v>
      </c>
      <c r="Q3" s="5">
        <f>Table1[[#This Row],[Current_Achievement_%]]/Table1[[#This Row],[Target_%]]</f>
        <v>1.1486486486486487</v>
      </c>
      <c r="R3" s="5">
        <f>Table1[[#This Row],[People_Gaining_Clean_Energy_Access]]/Table1[[#This Row],[Beneficiaries]]</f>
        <v>0.71078224101479914</v>
      </c>
      <c r="S3" s="5">
        <f>Table1[[#This Row],[Local_Jobs_Created]]/Table1[[#This Row],[People_Trained]]</f>
        <v>0.20610687022900764</v>
      </c>
      <c r="T3" s="6">
        <f>Table1[[#This Row],[Beneficiaries]]-Table1[[#This Row],[People_Gaining_Clean_Energy_Access]]</f>
        <v>684</v>
      </c>
      <c r="U3" s="5" t="str">
        <f>IF(Table1[[#This Row],[Target_Gap]]&gt;=0,"Meeting/Exceeding Target",
IF(Table1[[#This Row],[Target_Gap]]&gt;=-10,"Moderately Below Target","Significantly Below Target"))</f>
        <v>Meeting/Exceeding Target</v>
      </c>
    </row>
    <row r="4" spans="1:21" x14ac:dyDescent="0.25">
      <c r="A4" t="s">
        <v>19</v>
      </c>
      <c r="B4" t="s">
        <v>20</v>
      </c>
      <c r="C4" t="s">
        <v>21</v>
      </c>
      <c r="D4" t="s">
        <v>22</v>
      </c>
      <c r="E4">
        <v>63</v>
      </c>
      <c r="F4">
        <v>78</v>
      </c>
      <c r="G4">
        <v>72</v>
      </c>
      <c r="H4">
        <v>1192</v>
      </c>
      <c r="I4">
        <v>51</v>
      </c>
      <c r="J4">
        <v>37</v>
      </c>
      <c r="K4">
        <v>1053</v>
      </c>
      <c r="L4" s="3">
        <v>0.94699999999999995</v>
      </c>
      <c r="M4">
        <v>4.7</v>
      </c>
      <c r="N4">
        <v>9</v>
      </c>
      <c r="O4">
        <f>Table1[[#This Row],[Current_Achievement_%]]-Table1[[#This Row],[Baseline_pct]]</f>
        <v>9</v>
      </c>
      <c r="P4">
        <f>Table1[[#This Row],[Current_Achievement_%]]-Table1[[#This Row],[Target_%]]</f>
        <v>-6</v>
      </c>
      <c r="Q4" s="5">
        <f>Table1[[#This Row],[Current_Achievement_%]]/Table1[[#This Row],[Target_%]]</f>
        <v>0.92307692307692313</v>
      </c>
      <c r="R4" s="5">
        <f>Table1[[#This Row],[People_Gaining_Clean_Energy_Access]]/Table1[[#This Row],[Beneficiaries]]</f>
        <v>0.88338926174496646</v>
      </c>
      <c r="S4" s="5">
        <f>Table1[[#This Row],[Local_Jobs_Created]]/Table1[[#This Row],[People_Trained]]</f>
        <v>1.3783783783783783</v>
      </c>
      <c r="T4" s="6">
        <f>Table1[[#This Row],[Beneficiaries]]-Table1[[#This Row],[People_Gaining_Clean_Energy_Access]]</f>
        <v>139</v>
      </c>
      <c r="U4" s="5" t="str">
        <f>IF(Table1[[#This Row],[Target_Gap]]&gt;=0,"Meeting/Exceeding Target",
IF(Table1[[#This Row],[Target_Gap]]&gt;=-10,"Moderately Below Target","Significantly Below Target"))</f>
        <v>Moderately Below Target</v>
      </c>
    </row>
    <row r="5" spans="1:21" x14ac:dyDescent="0.25">
      <c r="A5" t="s">
        <v>23</v>
      </c>
      <c r="B5" t="s">
        <v>15</v>
      </c>
      <c r="C5" t="s">
        <v>24</v>
      </c>
      <c r="D5" t="s">
        <v>25</v>
      </c>
      <c r="E5">
        <v>61</v>
      </c>
      <c r="F5">
        <v>78</v>
      </c>
      <c r="G5">
        <v>61</v>
      </c>
      <c r="H5">
        <v>2328</v>
      </c>
      <c r="I5">
        <v>66</v>
      </c>
      <c r="J5">
        <v>57</v>
      </c>
      <c r="K5">
        <v>2196</v>
      </c>
      <c r="L5" s="3">
        <v>0.85799999999999998</v>
      </c>
      <c r="M5">
        <v>4.7</v>
      </c>
      <c r="N5">
        <v>0</v>
      </c>
      <c r="O5">
        <f>Table1[[#This Row],[Current_Achievement_%]]-Table1[[#This Row],[Baseline_pct]]</f>
        <v>0</v>
      </c>
      <c r="P5">
        <f>Table1[[#This Row],[Current_Achievement_%]]-Table1[[#This Row],[Target_%]]</f>
        <v>-17</v>
      </c>
      <c r="Q5" s="5">
        <f>Table1[[#This Row],[Current_Achievement_%]]/Table1[[#This Row],[Target_%]]</f>
        <v>0.78205128205128205</v>
      </c>
      <c r="R5" s="5">
        <f>Table1[[#This Row],[People_Gaining_Clean_Energy_Access]]/Table1[[#This Row],[Beneficiaries]]</f>
        <v>0.94329896907216493</v>
      </c>
      <c r="S5" s="5">
        <f>Table1[[#This Row],[Local_Jobs_Created]]/Table1[[#This Row],[People_Trained]]</f>
        <v>1.1578947368421053</v>
      </c>
      <c r="T5" s="6">
        <f>Table1[[#This Row],[Beneficiaries]]-Table1[[#This Row],[People_Gaining_Clean_Energy_Access]]</f>
        <v>132</v>
      </c>
      <c r="U5" s="5" t="str">
        <f>IF(Table1[[#This Row],[Target_Gap]]&gt;=0,"Meeting/Exceeding Target",
IF(Table1[[#This Row],[Target_Gap]]&gt;=-10,"Moderately Below Target","Significantly Below Target"))</f>
        <v>Significantly Below Target</v>
      </c>
    </row>
    <row r="6" spans="1:21" x14ac:dyDescent="0.25">
      <c r="A6" t="s">
        <v>27</v>
      </c>
      <c r="B6" t="s">
        <v>28</v>
      </c>
      <c r="C6" t="s">
        <v>29</v>
      </c>
      <c r="D6" t="s">
        <v>30</v>
      </c>
      <c r="E6">
        <v>54</v>
      </c>
      <c r="F6">
        <v>77</v>
      </c>
      <c r="G6">
        <v>92</v>
      </c>
      <c r="H6">
        <v>2012</v>
      </c>
      <c r="I6">
        <v>9</v>
      </c>
      <c r="J6">
        <v>96</v>
      </c>
      <c r="K6">
        <v>1715</v>
      </c>
      <c r="L6" s="3">
        <v>0.88500000000000001</v>
      </c>
      <c r="M6">
        <v>4.3</v>
      </c>
      <c r="N6">
        <v>38</v>
      </c>
      <c r="O6">
        <f>Table1[[#This Row],[Current_Achievement_%]]-Table1[[#This Row],[Baseline_pct]]</f>
        <v>38</v>
      </c>
      <c r="P6">
        <f>Table1[[#This Row],[Current_Achievement_%]]-Table1[[#This Row],[Target_%]]</f>
        <v>15</v>
      </c>
      <c r="Q6" s="5">
        <f>Table1[[#This Row],[Current_Achievement_%]]/Table1[[#This Row],[Target_%]]</f>
        <v>1.1948051948051948</v>
      </c>
      <c r="R6" s="5">
        <f>Table1[[#This Row],[People_Gaining_Clean_Energy_Access]]/Table1[[#This Row],[Beneficiaries]]</f>
        <v>0.85238568588469188</v>
      </c>
      <c r="S6" s="5">
        <f>Table1[[#This Row],[Local_Jobs_Created]]/Table1[[#This Row],[People_Trained]]</f>
        <v>9.375E-2</v>
      </c>
      <c r="T6" s="6">
        <f>Table1[[#This Row],[Beneficiaries]]-Table1[[#This Row],[People_Gaining_Clean_Energy_Access]]</f>
        <v>297</v>
      </c>
      <c r="U6" s="5" t="str">
        <f>IF(Table1[[#This Row],[Target_Gap]]&gt;=0,"Meeting/Exceeding Target",
IF(Table1[[#This Row],[Target_Gap]]&gt;=-10,"Moderately Below Target","Significantly Below Target"))</f>
        <v>Meeting/Exceeding Target</v>
      </c>
    </row>
    <row r="7" spans="1:21" x14ac:dyDescent="0.25">
      <c r="A7" t="s">
        <v>31</v>
      </c>
      <c r="B7" t="s">
        <v>32</v>
      </c>
      <c r="C7" t="s">
        <v>33</v>
      </c>
      <c r="D7" t="s">
        <v>30</v>
      </c>
      <c r="E7">
        <v>37</v>
      </c>
      <c r="F7">
        <v>94</v>
      </c>
      <c r="G7">
        <v>81</v>
      </c>
      <c r="H7">
        <v>1525</v>
      </c>
      <c r="I7">
        <v>56</v>
      </c>
      <c r="J7">
        <v>241</v>
      </c>
      <c r="K7">
        <v>1447</v>
      </c>
      <c r="L7" s="3">
        <v>0.88600000000000001</v>
      </c>
      <c r="M7">
        <v>3.9</v>
      </c>
      <c r="N7">
        <v>44</v>
      </c>
      <c r="O7">
        <f>Table1[[#This Row],[Current_Achievement_%]]-Table1[[#This Row],[Baseline_pct]]</f>
        <v>44</v>
      </c>
      <c r="P7">
        <f>Table1[[#This Row],[Current_Achievement_%]]-Table1[[#This Row],[Target_%]]</f>
        <v>-13</v>
      </c>
      <c r="Q7" s="5">
        <f>Table1[[#This Row],[Current_Achievement_%]]/Table1[[#This Row],[Target_%]]</f>
        <v>0.86170212765957444</v>
      </c>
      <c r="R7" s="5">
        <f>Table1[[#This Row],[People_Gaining_Clean_Energy_Access]]/Table1[[#This Row],[Beneficiaries]]</f>
        <v>0.94885245901639348</v>
      </c>
      <c r="S7" s="5">
        <f>Table1[[#This Row],[Local_Jobs_Created]]/Table1[[#This Row],[People_Trained]]</f>
        <v>0.23236514522821577</v>
      </c>
      <c r="T7" s="6">
        <f>Table1[[#This Row],[Beneficiaries]]-Table1[[#This Row],[People_Gaining_Clean_Energy_Access]]</f>
        <v>78</v>
      </c>
      <c r="U7" s="5" t="str">
        <f>IF(Table1[[#This Row],[Target_Gap]]&gt;=0,"Meeting/Exceeding Target",
IF(Table1[[#This Row],[Target_Gap]]&gt;=-10,"Moderately Below Target","Significantly Below Target"))</f>
        <v>Significantly Below Target</v>
      </c>
    </row>
    <row r="8" spans="1:21" x14ac:dyDescent="0.25">
      <c r="A8" t="s">
        <v>34</v>
      </c>
      <c r="B8" t="s">
        <v>35</v>
      </c>
      <c r="C8" t="s">
        <v>36</v>
      </c>
      <c r="D8" t="s">
        <v>25</v>
      </c>
      <c r="E8">
        <v>37</v>
      </c>
      <c r="F8">
        <v>92</v>
      </c>
      <c r="G8">
        <v>97</v>
      </c>
      <c r="H8">
        <v>151</v>
      </c>
      <c r="I8">
        <v>65</v>
      </c>
      <c r="J8">
        <v>204</v>
      </c>
      <c r="K8">
        <v>139</v>
      </c>
      <c r="L8" s="3">
        <v>0.83399999999999996</v>
      </c>
      <c r="M8">
        <v>4.8</v>
      </c>
      <c r="N8">
        <v>60</v>
      </c>
      <c r="O8">
        <f>Table1[[#This Row],[Current_Achievement_%]]-Table1[[#This Row],[Baseline_pct]]</f>
        <v>60</v>
      </c>
      <c r="P8">
        <f>Table1[[#This Row],[Current_Achievement_%]]-Table1[[#This Row],[Target_%]]</f>
        <v>5</v>
      </c>
      <c r="Q8" s="5">
        <f>Table1[[#This Row],[Current_Achievement_%]]/Table1[[#This Row],[Target_%]]</f>
        <v>1.0543478260869565</v>
      </c>
      <c r="R8" s="5">
        <f>Table1[[#This Row],[People_Gaining_Clean_Energy_Access]]/Table1[[#This Row],[Beneficiaries]]</f>
        <v>0.92052980132450335</v>
      </c>
      <c r="S8" s="5">
        <f>Table1[[#This Row],[Local_Jobs_Created]]/Table1[[#This Row],[People_Trained]]</f>
        <v>0.31862745098039214</v>
      </c>
      <c r="T8" s="6">
        <f>Table1[[#This Row],[Beneficiaries]]-Table1[[#This Row],[People_Gaining_Clean_Energy_Access]]</f>
        <v>12</v>
      </c>
      <c r="U8" s="5" t="str">
        <f>IF(Table1[[#This Row],[Target_Gap]]&gt;=0,"Meeting/Exceeding Target",
IF(Table1[[#This Row],[Target_Gap]]&gt;=-10,"Moderately Below Target","Significantly Below Target"))</f>
        <v>Meeting/Exceeding Target</v>
      </c>
    </row>
    <row r="9" spans="1:21" x14ac:dyDescent="0.25">
      <c r="A9" t="s">
        <v>37</v>
      </c>
      <c r="B9" t="s">
        <v>38</v>
      </c>
      <c r="C9" t="s">
        <v>39</v>
      </c>
      <c r="D9" t="s">
        <v>17</v>
      </c>
      <c r="E9">
        <v>58</v>
      </c>
      <c r="F9">
        <v>74</v>
      </c>
      <c r="G9">
        <v>75</v>
      </c>
      <c r="H9">
        <v>2040</v>
      </c>
      <c r="I9">
        <v>34</v>
      </c>
      <c r="J9">
        <v>273</v>
      </c>
      <c r="K9">
        <v>1697</v>
      </c>
      <c r="L9" s="3">
        <v>0.89200000000000002</v>
      </c>
      <c r="M9">
        <v>4.2</v>
      </c>
      <c r="N9">
        <v>17</v>
      </c>
      <c r="O9">
        <f>Table1[[#This Row],[Current_Achievement_%]]-Table1[[#This Row],[Baseline_pct]]</f>
        <v>17</v>
      </c>
      <c r="P9">
        <f>Table1[[#This Row],[Current_Achievement_%]]-Table1[[#This Row],[Target_%]]</f>
        <v>1</v>
      </c>
      <c r="Q9" s="5">
        <f>Table1[[#This Row],[Current_Achievement_%]]/Table1[[#This Row],[Target_%]]</f>
        <v>1.0135135135135136</v>
      </c>
      <c r="R9" s="5">
        <f>Table1[[#This Row],[People_Gaining_Clean_Energy_Access]]/Table1[[#This Row],[Beneficiaries]]</f>
        <v>0.83186274509803926</v>
      </c>
      <c r="S9" s="5">
        <f>Table1[[#This Row],[Local_Jobs_Created]]/Table1[[#This Row],[People_Trained]]</f>
        <v>0.12454212454212454</v>
      </c>
      <c r="T9" s="6">
        <f>Table1[[#This Row],[Beneficiaries]]-Table1[[#This Row],[People_Gaining_Clean_Energy_Access]]</f>
        <v>343</v>
      </c>
      <c r="U9" s="5" t="str">
        <f>IF(Table1[[#This Row],[Target_Gap]]&gt;=0,"Meeting/Exceeding Target",
IF(Table1[[#This Row],[Target_Gap]]&gt;=-10,"Moderately Below Target","Significantly Below Target"))</f>
        <v>Meeting/Exceeding Target</v>
      </c>
    </row>
    <row r="10" spans="1:21" x14ac:dyDescent="0.25">
      <c r="A10" t="s">
        <v>40</v>
      </c>
      <c r="B10" t="s">
        <v>32</v>
      </c>
      <c r="C10" t="s">
        <v>41</v>
      </c>
      <c r="D10" t="s">
        <v>25</v>
      </c>
      <c r="E10">
        <v>71</v>
      </c>
      <c r="F10">
        <v>87</v>
      </c>
      <c r="G10">
        <v>73</v>
      </c>
      <c r="H10">
        <v>355</v>
      </c>
      <c r="I10">
        <v>57</v>
      </c>
      <c r="J10">
        <v>292</v>
      </c>
      <c r="K10">
        <v>267</v>
      </c>
      <c r="L10" s="3">
        <v>0.83099999999999996</v>
      </c>
      <c r="M10">
        <v>4.8</v>
      </c>
      <c r="N10">
        <v>2</v>
      </c>
      <c r="O10">
        <f>Table1[[#This Row],[Current_Achievement_%]]-Table1[[#This Row],[Baseline_pct]]</f>
        <v>2</v>
      </c>
      <c r="P10">
        <f>Table1[[#This Row],[Current_Achievement_%]]-Table1[[#This Row],[Target_%]]</f>
        <v>-14</v>
      </c>
      <c r="Q10" s="5">
        <f>Table1[[#This Row],[Current_Achievement_%]]/Table1[[#This Row],[Target_%]]</f>
        <v>0.83908045977011492</v>
      </c>
      <c r="R10" s="5">
        <f>Table1[[#This Row],[People_Gaining_Clean_Energy_Access]]/Table1[[#This Row],[Beneficiaries]]</f>
        <v>0.75211267605633803</v>
      </c>
      <c r="S10" s="5">
        <f>Table1[[#This Row],[Local_Jobs_Created]]/Table1[[#This Row],[People_Trained]]</f>
        <v>0.1952054794520548</v>
      </c>
      <c r="T10" s="6">
        <f>Table1[[#This Row],[Beneficiaries]]-Table1[[#This Row],[People_Gaining_Clean_Energy_Access]]</f>
        <v>88</v>
      </c>
      <c r="U10" s="5" t="str">
        <f>IF(Table1[[#This Row],[Target_Gap]]&gt;=0,"Meeting/Exceeding Target",
IF(Table1[[#This Row],[Target_Gap]]&gt;=-10,"Moderately Below Target","Significantly Below Target"))</f>
        <v>Significantly Below Target</v>
      </c>
    </row>
    <row r="11" spans="1:21" x14ac:dyDescent="0.25">
      <c r="A11" t="s">
        <v>42</v>
      </c>
      <c r="B11" t="s">
        <v>15</v>
      </c>
      <c r="C11" t="s">
        <v>43</v>
      </c>
      <c r="D11" t="s">
        <v>44</v>
      </c>
      <c r="E11">
        <v>37</v>
      </c>
      <c r="F11">
        <v>95</v>
      </c>
      <c r="G11">
        <v>95</v>
      </c>
      <c r="H11">
        <v>1600</v>
      </c>
      <c r="I11">
        <v>31</v>
      </c>
      <c r="J11">
        <v>208</v>
      </c>
      <c r="K11">
        <v>1126</v>
      </c>
      <c r="L11" s="3">
        <v>0.88500000000000001</v>
      </c>
      <c r="M11">
        <v>3.9</v>
      </c>
      <c r="N11">
        <v>58</v>
      </c>
      <c r="O11">
        <f>Table1[[#This Row],[Current_Achievement_%]]-Table1[[#This Row],[Baseline_pct]]</f>
        <v>58</v>
      </c>
      <c r="P11">
        <f>Table1[[#This Row],[Current_Achievement_%]]-Table1[[#This Row],[Target_%]]</f>
        <v>0</v>
      </c>
      <c r="Q11" s="5">
        <f>Table1[[#This Row],[Current_Achievement_%]]/Table1[[#This Row],[Target_%]]</f>
        <v>1</v>
      </c>
      <c r="R11" s="5">
        <f>Table1[[#This Row],[People_Gaining_Clean_Energy_Access]]/Table1[[#This Row],[Beneficiaries]]</f>
        <v>0.70374999999999999</v>
      </c>
      <c r="S11" s="5">
        <f>Table1[[#This Row],[Local_Jobs_Created]]/Table1[[#This Row],[People_Trained]]</f>
        <v>0.14903846153846154</v>
      </c>
      <c r="T11" s="6">
        <f>Table1[[#This Row],[Beneficiaries]]-Table1[[#This Row],[People_Gaining_Clean_Energy_Access]]</f>
        <v>474</v>
      </c>
      <c r="U11" s="5" t="str">
        <f>IF(Table1[[#This Row],[Target_Gap]]&gt;=0,"Meeting/Exceeding Target",
IF(Table1[[#This Row],[Target_Gap]]&gt;=-10,"Moderately Below Target","Significantly Below Target"))</f>
        <v>Meeting/Exceeding Target</v>
      </c>
    </row>
    <row r="12" spans="1:21" x14ac:dyDescent="0.25">
      <c r="A12" t="s">
        <v>45</v>
      </c>
      <c r="B12" t="s">
        <v>38</v>
      </c>
      <c r="C12" t="s">
        <v>33</v>
      </c>
      <c r="D12" t="s">
        <v>44</v>
      </c>
      <c r="E12">
        <v>42</v>
      </c>
      <c r="F12">
        <v>87</v>
      </c>
      <c r="G12">
        <v>96</v>
      </c>
      <c r="H12">
        <v>1836</v>
      </c>
      <c r="I12">
        <v>16</v>
      </c>
      <c r="J12">
        <v>190</v>
      </c>
      <c r="K12">
        <v>1212</v>
      </c>
      <c r="L12" s="3">
        <v>0.82399999999999995</v>
      </c>
      <c r="M12">
        <v>3.8</v>
      </c>
      <c r="N12">
        <v>54</v>
      </c>
      <c r="O12">
        <f>Table1[[#This Row],[Current_Achievement_%]]-Table1[[#This Row],[Baseline_pct]]</f>
        <v>54</v>
      </c>
      <c r="P12">
        <f>Table1[[#This Row],[Current_Achievement_%]]-Table1[[#This Row],[Target_%]]</f>
        <v>9</v>
      </c>
      <c r="Q12" s="5">
        <f>Table1[[#This Row],[Current_Achievement_%]]/Table1[[#This Row],[Target_%]]</f>
        <v>1.103448275862069</v>
      </c>
      <c r="R12" s="5">
        <f>Table1[[#This Row],[People_Gaining_Clean_Energy_Access]]/Table1[[#This Row],[Beneficiaries]]</f>
        <v>0.66013071895424835</v>
      </c>
      <c r="S12" s="5">
        <f>Table1[[#This Row],[Local_Jobs_Created]]/Table1[[#This Row],[People_Trained]]</f>
        <v>8.4210526315789472E-2</v>
      </c>
      <c r="T12" s="6">
        <f>Table1[[#This Row],[Beneficiaries]]-Table1[[#This Row],[People_Gaining_Clean_Energy_Access]]</f>
        <v>624</v>
      </c>
      <c r="U12" s="5" t="str">
        <f>IF(Table1[[#This Row],[Target_Gap]]&gt;=0,"Meeting/Exceeding Target",
IF(Table1[[#This Row],[Target_Gap]]&gt;=-10,"Moderately Below Target","Significantly Below Target"))</f>
        <v>Meeting/Exceeding Target</v>
      </c>
    </row>
    <row r="13" spans="1:21" x14ac:dyDescent="0.25">
      <c r="A13" t="s">
        <v>46</v>
      </c>
      <c r="B13" t="s">
        <v>47</v>
      </c>
      <c r="C13" t="s">
        <v>48</v>
      </c>
      <c r="D13" t="s">
        <v>17</v>
      </c>
      <c r="E13">
        <v>44</v>
      </c>
      <c r="F13">
        <v>78</v>
      </c>
      <c r="G13">
        <v>89</v>
      </c>
      <c r="H13">
        <v>644</v>
      </c>
      <c r="I13">
        <v>55</v>
      </c>
      <c r="J13">
        <v>332</v>
      </c>
      <c r="K13">
        <v>517</v>
      </c>
      <c r="L13" s="3">
        <v>0.96</v>
      </c>
      <c r="M13">
        <v>3.5</v>
      </c>
      <c r="N13">
        <v>45</v>
      </c>
      <c r="O13">
        <f>Table1[[#This Row],[Current_Achievement_%]]-Table1[[#This Row],[Baseline_pct]]</f>
        <v>45</v>
      </c>
      <c r="P13">
        <f>Table1[[#This Row],[Current_Achievement_%]]-Table1[[#This Row],[Target_%]]</f>
        <v>11</v>
      </c>
      <c r="Q13" s="5">
        <f>Table1[[#This Row],[Current_Achievement_%]]/Table1[[#This Row],[Target_%]]</f>
        <v>1.141025641025641</v>
      </c>
      <c r="R13" s="5">
        <f>Table1[[#This Row],[People_Gaining_Clean_Energy_Access]]/Table1[[#This Row],[Beneficiaries]]</f>
        <v>0.80279503105590067</v>
      </c>
      <c r="S13" s="5">
        <f>Table1[[#This Row],[Local_Jobs_Created]]/Table1[[#This Row],[People_Trained]]</f>
        <v>0.16566265060240964</v>
      </c>
      <c r="T13" s="6">
        <f>Table1[[#This Row],[Beneficiaries]]-Table1[[#This Row],[People_Gaining_Clean_Energy_Access]]</f>
        <v>127</v>
      </c>
      <c r="U13" s="5" t="str">
        <f>IF(Table1[[#This Row],[Target_Gap]]&gt;=0,"Meeting/Exceeding Target",
IF(Table1[[#This Row],[Target_Gap]]&gt;=-10,"Moderately Below Target","Significantly Below Target"))</f>
        <v>Meeting/Exceeding Target</v>
      </c>
    </row>
    <row r="14" spans="1:21" x14ac:dyDescent="0.25">
      <c r="A14" t="s">
        <v>49</v>
      </c>
      <c r="B14" t="s">
        <v>50</v>
      </c>
      <c r="C14" t="s">
        <v>51</v>
      </c>
      <c r="D14" t="s">
        <v>17</v>
      </c>
      <c r="E14">
        <v>45</v>
      </c>
      <c r="F14">
        <v>78</v>
      </c>
      <c r="G14">
        <v>72</v>
      </c>
      <c r="H14">
        <v>1886</v>
      </c>
      <c r="I14">
        <v>15</v>
      </c>
      <c r="J14">
        <v>256</v>
      </c>
      <c r="K14">
        <v>1299</v>
      </c>
      <c r="L14" s="3">
        <v>0.91100000000000003</v>
      </c>
      <c r="M14">
        <v>3.7</v>
      </c>
      <c r="N14">
        <v>27</v>
      </c>
      <c r="O14">
        <f>Table1[[#This Row],[Current_Achievement_%]]-Table1[[#This Row],[Baseline_pct]]</f>
        <v>27</v>
      </c>
      <c r="P14">
        <f>Table1[[#This Row],[Current_Achievement_%]]-Table1[[#This Row],[Target_%]]</f>
        <v>-6</v>
      </c>
      <c r="Q14" s="5">
        <f>Table1[[#This Row],[Current_Achievement_%]]/Table1[[#This Row],[Target_%]]</f>
        <v>0.92307692307692313</v>
      </c>
      <c r="R14" s="5">
        <f>Table1[[#This Row],[People_Gaining_Clean_Energy_Access]]/Table1[[#This Row],[Beneficiaries]]</f>
        <v>0.68875927889713684</v>
      </c>
      <c r="S14" s="5">
        <f>Table1[[#This Row],[Local_Jobs_Created]]/Table1[[#This Row],[People_Trained]]</f>
        <v>5.859375E-2</v>
      </c>
      <c r="T14" s="6">
        <f>Table1[[#This Row],[Beneficiaries]]-Table1[[#This Row],[People_Gaining_Clean_Energy_Access]]</f>
        <v>587</v>
      </c>
      <c r="U14" s="5" t="str">
        <f>IF(Table1[[#This Row],[Target_Gap]]&gt;=0,"Meeting/Exceeding Target",
IF(Table1[[#This Row],[Target_Gap]]&gt;=-10,"Moderately Below Target","Significantly Below Target"))</f>
        <v>Moderately Below Target</v>
      </c>
    </row>
    <row r="15" spans="1:21" x14ac:dyDescent="0.25">
      <c r="A15" t="s">
        <v>52</v>
      </c>
      <c r="B15" t="s">
        <v>38</v>
      </c>
      <c r="C15" t="s">
        <v>43</v>
      </c>
      <c r="D15" t="s">
        <v>17</v>
      </c>
      <c r="E15">
        <v>71</v>
      </c>
      <c r="F15">
        <v>88</v>
      </c>
      <c r="G15">
        <v>78</v>
      </c>
      <c r="H15">
        <v>2400</v>
      </c>
      <c r="I15">
        <v>35</v>
      </c>
      <c r="J15">
        <v>240</v>
      </c>
      <c r="K15">
        <v>2279</v>
      </c>
      <c r="L15" s="3">
        <v>0.96</v>
      </c>
      <c r="M15">
        <v>4.8</v>
      </c>
      <c r="N15">
        <v>7</v>
      </c>
      <c r="O15">
        <f>Table1[[#This Row],[Current_Achievement_%]]-Table1[[#This Row],[Baseline_pct]]</f>
        <v>7</v>
      </c>
      <c r="P15">
        <f>Table1[[#This Row],[Current_Achievement_%]]-Table1[[#This Row],[Target_%]]</f>
        <v>-10</v>
      </c>
      <c r="Q15" s="5">
        <f>Table1[[#This Row],[Current_Achievement_%]]/Table1[[#This Row],[Target_%]]</f>
        <v>0.88636363636363635</v>
      </c>
      <c r="R15" s="5">
        <f>Table1[[#This Row],[People_Gaining_Clean_Energy_Access]]/Table1[[#This Row],[Beneficiaries]]</f>
        <v>0.94958333333333333</v>
      </c>
      <c r="S15" s="5">
        <f>Table1[[#This Row],[Local_Jobs_Created]]/Table1[[#This Row],[People_Trained]]</f>
        <v>0.14583333333333334</v>
      </c>
      <c r="T15" s="6">
        <f>Table1[[#This Row],[Beneficiaries]]-Table1[[#This Row],[People_Gaining_Clean_Energy_Access]]</f>
        <v>121</v>
      </c>
      <c r="U15" s="5" t="str">
        <f>IF(Table1[[#This Row],[Target_Gap]]&gt;=0,"Meeting/Exceeding Target",
IF(Table1[[#This Row],[Target_Gap]]&gt;=-10,"Moderately Below Target","Significantly Below Target"))</f>
        <v>Moderately Below Target</v>
      </c>
    </row>
    <row r="16" spans="1:21" x14ac:dyDescent="0.25">
      <c r="A16" t="s">
        <v>53</v>
      </c>
      <c r="B16" t="s">
        <v>35</v>
      </c>
      <c r="C16" t="s">
        <v>36</v>
      </c>
      <c r="D16" t="s">
        <v>22</v>
      </c>
      <c r="E16">
        <v>66</v>
      </c>
      <c r="F16">
        <v>82</v>
      </c>
      <c r="G16">
        <v>81</v>
      </c>
      <c r="H16">
        <v>271</v>
      </c>
      <c r="I16">
        <v>57</v>
      </c>
      <c r="J16">
        <v>219</v>
      </c>
      <c r="K16">
        <v>249</v>
      </c>
      <c r="L16" s="3">
        <v>0.83</v>
      </c>
      <c r="M16">
        <v>3.8</v>
      </c>
      <c r="N16">
        <v>15</v>
      </c>
      <c r="O16">
        <f>Table1[[#This Row],[Current_Achievement_%]]-Table1[[#This Row],[Baseline_pct]]</f>
        <v>15</v>
      </c>
      <c r="P16">
        <f>Table1[[#This Row],[Current_Achievement_%]]-Table1[[#This Row],[Target_%]]</f>
        <v>-1</v>
      </c>
      <c r="Q16" s="5">
        <f>Table1[[#This Row],[Current_Achievement_%]]/Table1[[#This Row],[Target_%]]</f>
        <v>0.98780487804878048</v>
      </c>
      <c r="R16" s="5">
        <f>Table1[[#This Row],[People_Gaining_Clean_Energy_Access]]/Table1[[#This Row],[Beneficiaries]]</f>
        <v>0.91881918819188191</v>
      </c>
      <c r="S16" s="5">
        <f>Table1[[#This Row],[Local_Jobs_Created]]/Table1[[#This Row],[People_Trained]]</f>
        <v>0.26027397260273971</v>
      </c>
      <c r="T16" s="6">
        <f>Table1[[#This Row],[Beneficiaries]]-Table1[[#This Row],[People_Gaining_Clean_Energy_Access]]</f>
        <v>22</v>
      </c>
      <c r="U16" s="5" t="str">
        <f>IF(Table1[[#This Row],[Target_Gap]]&gt;=0,"Meeting/Exceeding Target",
IF(Table1[[#This Row],[Target_Gap]]&gt;=-10,"Moderately Below Target","Significantly Below Target"))</f>
        <v>Moderately Below Target</v>
      </c>
    </row>
    <row r="17" spans="1:21" x14ac:dyDescent="0.25">
      <c r="A17" t="s">
        <v>54</v>
      </c>
      <c r="B17" t="s">
        <v>38</v>
      </c>
      <c r="C17" t="s">
        <v>55</v>
      </c>
      <c r="D17" t="s">
        <v>25</v>
      </c>
      <c r="E17">
        <v>31</v>
      </c>
      <c r="F17">
        <v>77</v>
      </c>
      <c r="G17">
        <v>71</v>
      </c>
      <c r="H17">
        <v>352</v>
      </c>
      <c r="I17">
        <v>9</v>
      </c>
      <c r="J17">
        <v>166</v>
      </c>
      <c r="K17">
        <v>252</v>
      </c>
      <c r="L17" s="3">
        <v>0.84399999999999997</v>
      </c>
      <c r="M17">
        <v>4.3</v>
      </c>
      <c r="N17">
        <v>40</v>
      </c>
      <c r="O17">
        <f>Table1[[#This Row],[Current_Achievement_%]]-Table1[[#This Row],[Baseline_pct]]</f>
        <v>40</v>
      </c>
      <c r="P17">
        <f>Table1[[#This Row],[Current_Achievement_%]]-Table1[[#This Row],[Target_%]]</f>
        <v>-6</v>
      </c>
      <c r="Q17" s="5">
        <f>Table1[[#This Row],[Current_Achievement_%]]/Table1[[#This Row],[Target_%]]</f>
        <v>0.92207792207792205</v>
      </c>
      <c r="R17" s="5">
        <f>Table1[[#This Row],[People_Gaining_Clean_Energy_Access]]/Table1[[#This Row],[Beneficiaries]]</f>
        <v>0.71590909090909094</v>
      </c>
      <c r="S17" s="5">
        <f>Table1[[#This Row],[Local_Jobs_Created]]/Table1[[#This Row],[People_Trained]]</f>
        <v>5.4216867469879519E-2</v>
      </c>
      <c r="T17" s="6">
        <f>Table1[[#This Row],[Beneficiaries]]-Table1[[#This Row],[People_Gaining_Clean_Energy_Access]]</f>
        <v>100</v>
      </c>
      <c r="U17" s="5" t="str">
        <f>IF(Table1[[#This Row],[Target_Gap]]&gt;=0,"Meeting/Exceeding Target",
IF(Table1[[#This Row],[Target_Gap]]&gt;=-10,"Moderately Below Target","Significantly Below Target"))</f>
        <v>Moderately Below Target</v>
      </c>
    </row>
    <row r="18" spans="1:21" x14ac:dyDescent="0.25">
      <c r="A18" t="s">
        <v>56</v>
      </c>
      <c r="B18" t="s">
        <v>57</v>
      </c>
      <c r="C18" t="s">
        <v>48</v>
      </c>
      <c r="D18" t="s">
        <v>17</v>
      </c>
      <c r="E18">
        <v>33</v>
      </c>
      <c r="F18">
        <v>91</v>
      </c>
      <c r="G18">
        <v>89</v>
      </c>
      <c r="H18">
        <v>2304</v>
      </c>
      <c r="I18">
        <v>46</v>
      </c>
      <c r="J18">
        <v>183</v>
      </c>
      <c r="K18">
        <v>2274</v>
      </c>
      <c r="L18" s="3">
        <v>0.78200000000000003</v>
      </c>
      <c r="M18">
        <v>4.4000000000000004</v>
      </c>
      <c r="N18">
        <v>56</v>
      </c>
      <c r="O18">
        <f>Table1[[#This Row],[Current_Achievement_%]]-Table1[[#This Row],[Baseline_pct]]</f>
        <v>56</v>
      </c>
      <c r="P18">
        <f>Table1[[#This Row],[Current_Achievement_%]]-Table1[[#This Row],[Target_%]]</f>
        <v>-2</v>
      </c>
      <c r="Q18" s="5">
        <f>Table1[[#This Row],[Current_Achievement_%]]/Table1[[#This Row],[Target_%]]</f>
        <v>0.97802197802197799</v>
      </c>
      <c r="R18" s="5">
        <f>Table1[[#This Row],[People_Gaining_Clean_Energy_Access]]/Table1[[#This Row],[Beneficiaries]]</f>
        <v>0.98697916666666663</v>
      </c>
      <c r="S18" s="5">
        <f>Table1[[#This Row],[Local_Jobs_Created]]/Table1[[#This Row],[People_Trained]]</f>
        <v>0.25136612021857924</v>
      </c>
      <c r="T18" s="6">
        <f>Table1[[#This Row],[Beneficiaries]]-Table1[[#This Row],[People_Gaining_Clean_Energy_Access]]</f>
        <v>30</v>
      </c>
      <c r="U18" s="5" t="str">
        <f>IF(Table1[[#This Row],[Target_Gap]]&gt;=0,"Meeting/Exceeding Target",
IF(Table1[[#This Row],[Target_Gap]]&gt;=-10,"Moderately Below Target","Significantly Below Target"))</f>
        <v>Moderately Below Target</v>
      </c>
    </row>
    <row r="19" spans="1:21" x14ac:dyDescent="0.25">
      <c r="A19" t="s">
        <v>58</v>
      </c>
      <c r="B19" t="s">
        <v>20</v>
      </c>
      <c r="C19" t="s">
        <v>33</v>
      </c>
      <c r="D19" t="s">
        <v>30</v>
      </c>
      <c r="E19">
        <v>48</v>
      </c>
      <c r="F19">
        <v>95</v>
      </c>
      <c r="G19">
        <v>83</v>
      </c>
      <c r="H19">
        <v>1799</v>
      </c>
      <c r="I19">
        <v>31</v>
      </c>
      <c r="J19">
        <v>229</v>
      </c>
      <c r="K19">
        <v>1793</v>
      </c>
      <c r="L19" s="3">
        <v>0.89600000000000002</v>
      </c>
      <c r="M19">
        <v>4.9000000000000004</v>
      </c>
      <c r="N19">
        <v>35</v>
      </c>
      <c r="O19">
        <f>Table1[[#This Row],[Current_Achievement_%]]-Table1[[#This Row],[Baseline_pct]]</f>
        <v>35</v>
      </c>
      <c r="P19">
        <f>Table1[[#This Row],[Current_Achievement_%]]-Table1[[#This Row],[Target_%]]</f>
        <v>-12</v>
      </c>
      <c r="Q19" s="5">
        <f>Table1[[#This Row],[Current_Achievement_%]]/Table1[[#This Row],[Target_%]]</f>
        <v>0.87368421052631584</v>
      </c>
      <c r="R19" s="5">
        <f>Table1[[#This Row],[People_Gaining_Clean_Energy_Access]]/Table1[[#This Row],[Beneficiaries]]</f>
        <v>0.99666481378543637</v>
      </c>
      <c r="S19" s="5">
        <f>Table1[[#This Row],[Local_Jobs_Created]]/Table1[[#This Row],[People_Trained]]</f>
        <v>0.13537117903930132</v>
      </c>
      <c r="T19" s="6">
        <f>Table1[[#This Row],[Beneficiaries]]-Table1[[#This Row],[People_Gaining_Clean_Energy_Access]]</f>
        <v>6</v>
      </c>
      <c r="U19" s="5" t="str">
        <f>IF(Table1[[#This Row],[Target_Gap]]&gt;=0,"Meeting/Exceeding Target",
IF(Table1[[#This Row],[Target_Gap]]&gt;=-10,"Moderately Below Target","Significantly Below Target"))</f>
        <v>Significantly Below Target</v>
      </c>
    </row>
    <row r="20" spans="1:21" x14ac:dyDescent="0.25">
      <c r="A20" t="s">
        <v>59</v>
      </c>
      <c r="B20" t="s">
        <v>47</v>
      </c>
      <c r="C20" t="s">
        <v>48</v>
      </c>
      <c r="D20" t="s">
        <v>22</v>
      </c>
      <c r="E20">
        <v>67</v>
      </c>
      <c r="F20">
        <v>81</v>
      </c>
      <c r="G20">
        <v>72</v>
      </c>
      <c r="H20">
        <v>1002</v>
      </c>
      <c r="I20">
        <v>12</v>
      </c>
      <c r="J20">
        <v>203</v>
      </c>
      <c r="K20">
        <v>860</v>
      </c>
      <c r="L20" s="3">
        <v>0.81200000000000006</v>
      </c>
      <c r="M20">
        <v>4.8</v>
      </c>
      <c r="N20">
        <v>5</v>
      </c>
      <c r="O20">
        <f>Table1[[#This Row],[Current_Achievement_%]]-Table1[[#This Row],[Baseline_pct]]</f>
        <v>5</v>
      </c>
      <c r="P20">
        <f>Table1[[#This Row],[Current_Achievement_%]]-Table1[[#This Row],[Target_%]]</f>
        <v>-9</v>
      </c>
      <c r="Q20" s="5">
        <f>Table1[[#This Row],[Current_Achievement_%]]/Table1[[#This Row],[Target_%]]</f>
        <v>0.88888888888888884</v>
      </c>
      <c r="R20" s="5">
        <f>Table1[[#This Row],[People_Gaining_Clean_Energy_Access]]/Table1[[#This Row],[Beneficiaries]]</f>
        <v>0.85828343313373257</v>
      </c>
      <c r="S20" s="5">
        <f>Table1[[#This Row],[Local_Jobs_Created]]/Table1[[#This Row],[People_Trained]]</f>
        <v>5.9113300492610835E-2</v>
      </c>
      <c r="T20" s="6">
        <f>Table1[[#This Row],[Beneficiaries]]-Table1[[#This Row],[People_Gaining_Clean_Energy_Access]]</f>
        <v>142</v>
      </c>
      <c r="U20" s="5" t="str">
        <f>IF(Table1[[#This Row],[Target_Gap]]&gt;=0,"Meeting/Exceeding Target",
IF(Table1[[#This Row],[Target_Gap]]&gt;=-10,"Moderately Below Target","Significantly Below Target"))</f>
        <v>Moderately Below Target</v>
      </c>
    </row>
    <row r="21" spans="1:21" x14ac:dyDescent="0.25">
      <c r="A21" t="s">
        <v>60</v>
      </c>
      <c r="B21" t="s">
        <v>20</v>
      </c>
      <c r="C21" t="s">
        <v>55</v>
      </c>
      <c r="D21" t="s">
        <v>22</v>
      </c>
      <c r="E21">
        <v>53</v>
      </c>
      <c r="F21">
        <v>91</v>
      </c>
      <c r="G21">
        <v>99</v>
      </c>
      <c r="H21">
        <v>231</v>
      </c>
      <c r="I21">
        <v>8</v>
      </c>
      <c r="J21">
        <v>214</v>
      </c>
      <c r="K21">
        <v>211</v>
      </c>
      <c r="L21" s="3">
        <v>0.79200000000000004</v>
      </c>
      <c r="M21">
        <v>3.2</v>
      </c>
      <c r="N21">
        <v>46</v>
      </c>
      <c r="O21">
        <f>Table1[[#This Row],[Current_Achievement_%]]-Table1[[#This Row],[Baseline_pct]]</f>
        <v>46</v>
      </c>
      <c r="P21">
        <f>Table1[[#This Row],[Current_Achievement_%]]-Table1[[#This Row],[Target_%]]</f>
        <v>8</v>
      </c>
      <c r="Q21" s="5">
        <f>Table1[[#This Row],[Current_Achievement_%]]/Table1[[#This Row],[Target_%]]</f>
        <v>1.0879120879120878</v>
      </c>
      <c r="R21" s="5">
        <f>Table1[[#This Row],[People_Gaining_Clean_Energy_Access]]/Table1[[#This Row],[Beneficiaries]]</f>
        <v>0.91341991341991347</v>
      </c>
      <c r="S21" s="5">
        <f>Table1[[#This Row],[Local_Jobs_Created]]/Table1[[#This Row],[People_Trained]]</f>
        <v>3.7383177570093455E-2</v>
      </c>
      <c r="T21" s="6">
        <f>Table1[[#This Row],[Beneficiaries]]-Table1[[#This Row],[People_Gaining_Clean_Energy_Access]]</f>
        <v>20</v>
      </c>
      <c r="U21" s="5" t="str">
        <f>IF(Table1[[#This Row],[Target_Gap]]&gt;=0,"Meeting/Exceeding Target",
IF(Table1[[#This Row],[Target_Gap]]&gt;=-10,"Moderately Below Target","Significantly Below Target"))</f>
        <v>Meeting/Exceeding Target</v>
      </c>
    </row>
    <row r="22" spans="1:21" x14ac:dyDescent="0.25">
      <c r="A22" t="s">
        <v>61</v>
      </c>
      <c r="B22" t="s">
        <v>20</v>
      </c>
      <c r="C22" t="s">
        <v>16</v>
      </c>
      <c r="D22" t="s">
        <v>25</v>
      </c>
      <c r="E22">
        <v>55</v>
      </c>
      <c r="F22">
        <v>84</v>
      </c>
      <c r="G22">
        <v>87</v>
      </c>
      <c r="H22">
        <v>2289</v>
      </c>
      <c r="I22">
        <v>53</v>
      </c>
      <c r="J22">
        <v>159</v>
      </c>
      <c r="K22">
        <v>2216</v>
      </c>
      <c r="L22" s="3">
        <v>0.84699999999999998</v>
      </c>
      <c r="M22">
        <v>4.4000000000000004</v>
      </c>
      <c r="N22">
        <v>32</v>
      </c>
      <c r="O22">
        <f>Table1[[#This Row],[Current_Achievement_%]]-Table1[[#This Row],[Baseline_pct]]</f>
        <v>32</v>
      </c>
      <c r="P22">
        <f>Table1[[#This Row],[Current_Achievement_%]]-Table1[[#This Row],[Target_%]]</f>
        <v>3</v>
      </c>
      <c r="Q22" s="5">
        <f>Table1[[#This Row],[Current_Achievement_%]]/Table1[[#This Row],[Target_%]]</f>
        <v>1.0357142857142858</v>
      </c>
      <c r="R22" s="5">
        <f>Table1[[#This Row],[People_Gaining_Clean_Energy_Access]]/Table1[[#This Row],[Beneficiaries]]</f>
        <v>0.96810834425513326</v>
      </c>
      <c r="S22" s="5">
        <f>Table1[[#This Row],[Local_Jobs_Created]]/Table1[[#This Row],[People_Trained]]</f>
        <v>0.33333333333333331</v>
      </c>
      <c r="T22" s="6">
        <f>Table1[[#This Row],[Beneficiaries]]-Table1[[#This Row],[People_Gaining_Clean_Energy_Access]]</f>
        <v>73</v>
      </c>
      <c r="U22" s="5" t="str">
        <f>IF(Table1[[#This Row],[Target_Gap]]&gt;=0,"Meeting/Exceeding Target",
IF(Table1[[#This Row],[Target_Gap]]&gt;=-10,"Moderately Below Target","Significantly Below Target"))</f>
        <v>Meeting/Exceeding Target</v>
      </c>
    </row>
    <row r="23" spans="1:21" x14ac:dyDescent="0.25">
      <c r="A23" t="s">
        <v>62</v>
      </c>
      <c r="B23" t="s">
        <v>38</v>
      </c>
      <c r="C23" t="s">
        <v>63</v>
      </c>
      <c r="D23" t="s">
        <v>44</v>
      </c>
      <c r="E23">
        <v>31</v>
      </c>
      <c r="F23">
        <v>72</v>
      </c>
      <c r="G23">
        <v>59</v>
      </c>
      <c r="H23">
        <v>1536</v>
      </c>
      <c r="I23">
        <v>65</v>
      </c>
      <c r="J23">
        <v>313</v>
      </c>
      <c r="K23">
        <v>1365</v>
      </c>
      <c r="L23" s="3">
        <v>0.98399999999999999</v>
      </c>
      <c r="M23">
        <v>3.4</v>
      </c>
      <c r="N23">
        <v>28</v>
      </c>
      <c r="O23">
        <f>Table1[[#This Row],[Current_Achievement_%]]-Table1[[#This Row],[Baseline_pct]]</f>
        <v>28</v>
      </c>
      <c r="P23">
        <f>Table1[[#This Row],[Current_Achievement_%]]-Table1[[#This Row],[Target_%]]</f>
        <v>-13</v>
      </c>
      <c r="Q23" s="5">
        <f>Table1[[#This Row],[Current_Achievement_%]]/Table1[[#This Row],[Target_%]]</f>
        <v>0.81944444444444442</v>
      </c>
      <c r="R23" s="5">
        <f>Table1[[#This Row],[People_Gaining_Clean_Energy_Access]]/Table1[[#This Row],[Beneficiaries]]</f>
        <v>0.888671875</v>
      </c>
      <c r="S23" s="5">
        <f>Table1[[#This Row],[Local_Jobs_Created]]/Table1[[#This Row],[People_Trained]]</f>
        <v>0.20766773162939298</v>
      </c>
      <c r="T23" s="6">
        <f>Table1[[#This Row],[Beneficiaries]]-Table1[[#This Row],[People_Gaining_Clean_Energy_Access]]</f>
        <v>171</v>
      </c>
      <c r="U23" s="5" t="str">
        <f>IF(Table1[[#This Row],[Target_Gap]]&gt;=0,"Meeting/Exceeding Target",
IF(Table1[[#This Row],[Target_Gap]]&gt;=-10,"Moderately Below Target","Significantly Below Target"))</f>
        <v>Significantly Below Target</v>
      </c>
    </row>
    <row r="24" spans="1:21" x14ac:dyDescent="0.25">
      <c r="A24" t="s">
        <v>64</v>
      </c>
      <c r="B24" t="s">
        <v>20</v>
      </c>
      <c r="C24" t="s">
        <v>43</v>
      </c>
      <c r="D24" t="s">
        <v>25</v>
      </c>
      <c r="E24">
        <v>34</v>
      </c>
      <c r="F24">
        <v>75</v>
      </c>
      <c r="G24">
        <v>52</v>
      </c>
      <c r="H24">
        <v>954</v>
      </c>
      <c r="I24">
        <v>50</v>
      </c>
      <c r="J24">
        <v>110</v>
      </c>
      <c r="K24">
        <v>931</v>
      </c>
      <c r="L24" s="3">
        <v>0.95699999999999996</v>
      </c>
      <c r="M24">
        <v>4.2</v>
      </c>
      <c r="N24">
        <v>18</v>
      </c>
      <c r="O24">
        <f>Table1[[#This Row],[Current_Achievement_%]]-Table1[[#This Row],[Baseline_pct]]</f>
        <v>18</v>
      </c>
      <c r="P24">
        <f>Table1[[#This Row],[Current_Achievement_%]]-Table1[[#This Row],[Target_%]]</f>
        <v>-23</v>
      </c>
      <c r="Q24" s="5">
        <f>Table1[[#This Row],[Current_Achievement_%]]/Table1[[#This Row],[Target_%]]</f>
        <v>0.69333333333333336</v>
      </c>
      <c r="R24" s="5">
        <f>Table1[[#This Row],[People_Gaining_Clean_Energy_Access]]/Table1[[#This Row],[Beneficiaries]]</f>
        <v>0.97589098532494756</v>
      </c>
      <c r="S24" s="5">
        <f>Table1[[#This Row],[Local_Jobs_Created]]/Table1[[#This Row],[People_Trained]]</f>
        <v>0.45454545454545453</v>
      </c>
      <c r="T24" s="6">
        <f>Table1[[#This Row],[Beneficiaries]]-Table1[[#This Row],[People_Gaining_Clean_Energy_Access]]</f>
        <v>23</v>
      </c>
      <c r="U24" s="5" t="str">
        <f>IF(Table1[[#This Row],[Target_Gap]]&gt;=0,"Meeting/Exceeding Target",
IF(Table1[[#This Row],[Target_Gap]]&gt;=-10,"Moderately Below Target","Significantly Below Target"))</f>
        <v>Significantly Below Target</v>
      </c>
    </row>
    <row r="25" spans="1:21" x14ac:dyDescent="0.25">
      <c r="A25" t="s">
        <v>66</v>
      </c>
      <c r="B25" t="s">
        <v>15</v>
      </c>
      <c r="C25" t="s">
        <v>43</v>
      </c>
      <c r="D25" t="s">
        <v>17</v>
      </c>
      <c r="E25">
        <v>39</v>
      </c>
      <c r="F25">
        <v>94</v>
      </c>
      <c r="G25">
        <v>98</v>
      </c>
      <c r="H25">
        <v>1993</v>
      </c>
      <c r="I25">
        <v>56</v>
      </c>
      <c r="J25">
        <v>330</v>
      </c>
      <c r="K25">
        <v>1547</v>
      </c>
      <c r="L25" s="3">
        <v>0.8</v>
      </c>
      <c r="M25">
        <v>4.2</v>
      </c>
      <c r="N25">
        <v>59</v>
      </c>
      <c r="O25">
        <f>Table1[[#This Row],[Current_Achievement_%]]-Table1[[#This Row],[Baseline_pct]]</f>
        <v>59</v>
      </c>
      <c r="P25">
        <f>Table1[[#This Row],[Current_Achievement_%]]-Table1[[#This Row],[Target_%]]</f>
        <v>4</v>
      </c>
      <c r="Q25" s="5">
        <f>Table1[[#This Row],[Current_Achievement_%]]/Table1[[#This Row],[Target_%]]</f>
        <v>1.0425531914893618</v>
      </c>
      <c r="R25" s="5">
        <f>Table1[[#This Row],[People_Gaining_Clean_Energy_Access]]/Table1[[#This Row],[Beneficiaries]]</f>
        <v>0.77621675865529349</v>
      </c>
      <c r="S25" s="5">
        <f>Table1[[#This Row],[Local_Jobs_Created]]/Table1[[#This Row],[People_Trained]]</f>
        <v>0.16969696969696971</v>
      </c>
      <c r="T25" s="6">
        <f>Table1[[#This Row],[Beneficiaries]]-Table1[[#This Row],[People_Gaining_Clean_Energy_Access]]</f>
        <v>446</v>
      </c>
      <c r="U25" s="5" t="str">
        <f>IF(Table1[[#This Row],[Target_Gap]]&gt;=0,"Meeting/Exceeding Target",
IF(Table1[[#This Row],[Target_Gap]]&gt;=-10,"Moderately Below Target","Significantly Below Target"))</f>
        <v>Meeting/Exceeding Target</v>
      </c>
    </row>
    <row r="26" spans="1:21" x14ac:dyDescent="0.25">
      <c r="A26" t="s">
        <v>67</v>
      </c>
      <c r="B26" t="s">
        <v>57</v>
      </c>
      <c r="C26" t="s">
        <v>29</v>
      </c>
      <c r="D26" t="s">
        <v>68</v>
      </c>
      <c r="E26">
        <v>31</v>
      </c>
      <c r="F26">
        <v>70</v>
      </c>
      <c r="G26">
        <v>58</v>
      </c>
      <c r="H26">
        <v>439</v>
      </c>
      <c r="I26">
        <v>63</v>
      </c>
      <c r="J26">
        <v>326</v>
      </c>
      <c r="K26">
        <v>386</v>
      </c>
      <c r="L26" s="3">
        <v>0.89400000000000002</v>
      </c>
      <c r="M26">
        <v>3.4</v>
      </c>
      <c r="N26">
        <v>27</v>
      </c>
      <c r="O26">
        <f>Table1[[#This Row],[Current_Achievement_%]]-Table1[[#This Row],[Baseline_pct]]</f>
        <v>27</v>
      </c>
      <c r="P26">
        <f>Table1[[#This Row],[Current_Achievement_%]]-Table1[[#This Row],[Target_%]]</f>
        <v>-12</v>
      </c>
      <c r="Q26" s="5">
        <f>Table1[[#This Row],[Current_Achievement_%]]/Table1[[#This Row],[Target_%]]</f>
        <v>0.82857142857142863</v>
      </c>
      <c r="R26" s="5">
        <f>Table1[[#This Row],[People_Gaining_Clean_Energy_Access]]/Table1[[#This Row],[Beneficiaries]]</f>
        <v>0.87927107061503418</v>
      </c>
      <c r="S26" s="5">
        <f>Table1[[#This Row],[Local_Jobs_Created]]/Table1[[#This Row],[People_Trained]]</f>
        <v>0.19325153374233128</v>
      </c>
      <c r="T26" s="6">
        <f>Table1[[#This Row],[Beneficiaries]]-Table1[[#This Row],[People_Gaining_Clean_Energy_Access]]</f>
        <v>53</v>
      </c>
      <c r="U26" s="5" t="str">
        <f>IF(Table1[[#This Row],[Target_Gap]]&gt;=0,"Meeting/Exceeding Target",
IF(Table1[[#This Row],[Target_Gap]]&gt;=-10,"Moderately Below Target","Significantly Below Target"))</f>
        <v>Significantly Below Target</v>
      </c>
    </row>
    <row r="27" spans="1:21" x14ac:dyDescent="0.25">
      <c r="A27" t="s">
        <v>69</v>
      </c>
      <c r="B27" t="s">
        <v>47</v>
      </c>
      <c r="C27" t="s">
        <v>41</v>
      </c>
      <c r="D27" t="s">
        <v>25</v>
      </c>
      <c r="E27">
        <v>57</v>
      </c>
      <c r="F27">
        <v>95</v>
      </c>
      <c r="G27">
        <v>84</v>
      </c>
      <c r="H27">
        <v>753</v>
      </c>
      <c r="I27">
        <v>34</v>
      </c>
      <c r="J27">
        <v>71</v>
      </c>
      <c r="K27">
        <v>496</v>
      </c>
      <c r="L27" s="3">
        <v>0.89300000000000002</v>
      </c>
      <c r="M27">
        <v>3.6</v>
      </c>
      <c r="N27">
        <v>27</v>
      </c>
      <c r="O27">
        <f>Table1[[#This Row],[Current_Achievement_%]]-Table1[[#This Row],[Baseline_pct]]</f>
        <v>27</v>
      </c>
      <c r="P27">
        <f>Table1[[#This Row],[Current_Achievement_%]]-Table1[[#This Row],[Target_%]]</f>
        <v>-11</v>
      </c>
      <c r="Q27" s="5">
        <f>Table1[[#This Row],[Current_Achievement_%]]/Table1[[#This Row],[Target_%]]</f>
        <v>0.88421052631578945</v>
      </c>
      <c r="R27" s="5">
        <f>Table1[[#This Row],[People_Gaining_Clean_Energy_Access]]/Table1[[#This Row],[Beneficiaries]]</f>
        <v>0.6586985391766268</v>
      </c>
      <c r="S27" s="5">
        <f>Table1[[#This Row],[Local_Jobs_Created]]/Table1[[#This Row],[People_Trained]]</f>
        <v>0.47887323943661969</v>
      </c>
      <c r="T27" s="6">
        <f>Table1[[#This Row],[Beneficiaries]]-Table1[[#This Row],[People_Gaining_Clean_Energy_Access]]</f>
        <v>257</v>
      </c>
      <c r="U27" s="5" t="str">
        <f>IF(Table1[[#This Row],[Target_Gap]]&gt;=0,"Meeting/Exceeding Target",
IF(Table1[[#This Row],[Target_Gap]]&gt;=-10,"Moderately Below Target","Significantly Below Target"))</f>
        <v>Significantly Below Target</v>
      </c>
    </row>
    <row r="28" spans="1:21" x14ac:dyDescent="0.25">
      <c r="A28" t="s">
        <v>70</v>
      </c>
      <c r="B28" t="s">
        <v>57</v>
      </c>
      <c r="C28" t="s">
        <v>24</v>
      </c>
      <c r="D28" t="s">
        <v>68</v>
      </c>
      <c r="E28">
        <v>71</v>
      </c>
      <c r="F28">
        <v>91</v>
      </c>
      <c r="G28">
        <v>94</v>
      </c>
      <c r="H28">
        <v>1529</v>
      </c>
      <c r="I28">
        <v>24</v>
      </c>
      <c r="J28">
        <v>228</v>
      </c>
      <c r="K28">
        <v>1034</v>
      </c>
      <c r="L28" s="3">
        <v>0.97299999999999998</v>
      </c>
      <c r="M28">
        <v>4.5</v>
      </c>
      <c r="N28">
        <v>23</v>
      </c>
      <c r="O28">
        <f>Table1[[#This Row],[Current_Achievement_%]]-Table1[[#This Row],[Baseline_pct]]</f>
        <v>23</v>
      </c>
      <c r="P28">
        <f>Table1[[#This Row],[Current_Achievement_%]]-Table1[[#This Row],[Target_%]]</f>
        <v>3</v>
      </c>
      <c r="Q28" s="5">
        <f>Table1[[#This Row],[Current_Achievement_%]]/Table1[[#This Row],[Target_%]]</f>
        <v>1.0329670329670331</v>
      </c>
      <c r="R28" s="5">
        <f>Table1[[#This Row],[People_Gaining_Clean_Energy_Access]]/Table1[[#This Row],[Beneficiaries]]</f>
        <v>0.67625899280575541</v>
      </c>
      <c r="S28" s="5">
        <f>Table1[[#This Row],[Local_Jobs_Created]]/Table1[[#This Row],[People_Trained]]</f>
        <v>0.10526315789473684</v>
      </c>
      <c r="T28" s="6">
        <f>Table1[[#This Row],[Beneficiaries]]-Table1[[#This Row],[People_Gaining_Clean_Energy_Access]]</f>
        <v>495</v>
      </c>
      <c r="U28" s="5" t="str">
        <f>IF(Table1[[#This Row],[Target_Gap]]&gt;=0,"Meeting/Exceeding Target",
IF(Table1[[#This Row],[Target_Gap]]&gt;=-10,"Moderately Below Target","Significantly Below Target"))</f>
        <v>Meeting/Exceeding Target</v>
      </c>
    </row>
    <row r="29" spans="1:21" x14ac:dyDescent="0.25">
      <c r="A29" t="s">
        <v>71</v>
      </c>
      <c r="B29" t="s">
        <v>38</v>
      </c>
      <c r="C29" t="s">
        <v>36</v>
      </c>
      <c r="D29" t="s">
        <v>68</v>
      </c>
      <c r="E29">
        <v>55</v>
      </c>
      <c r="F29">
        <v>82</v>
      </c>
      <c r="G29">
        <v>77</v>
      </c>
      <c r="H29">
        <v>669</v>
      </c>
      <c r="I29">
        <v>48</v>
      </c>
      <c r="J29">
        <v>281</v>
      </c>
      <c r="K29">
        <v>567</v>
      </c>
      <c r="L29" s="3">
        <v>0.81899999999999995</v>
      </c>
      <c r="M29">
        <v>3.4</v>
      </c>
      <c r="N29">
        <v>22</v>
      </c>
      <c r="O29">
        <f>Table1[[#This Row],[Current_Achievement_%]]-Table1[[#This Row],[Baseline_pct]]</f>
        <v>22</v>
      </c>
      <c r="P29">
        <f>Table1[[#This Row],[Current_Achievement_%]]-Table1[[#This Row],[Target_%]]</f>
        <v>-5</v>
      </c>
      <c r="Q29" s="5">
        <f>Table1[[#This Row],[Current_Achievement_%]]/Table1[[#This Row],[Target_%]]</f>
        <v>0.93902439024390238</v>
      </c>
      <c r="R29" s="5">
        <f>Table1[[#This Row],[People_Gaining_Clean_Energy_Access]]/Table1[[#This Row],[Beneficiaries]]</f>
        <v>0.84753363228699552</v>
      </c>
      <c r="S29" s="5">
        <f>Table1[[#This Row],[Local_Jobs_Created]]/Table1[[#This Row],[People_Trained]]</f>
        <v>0.1708185053380783</v>
      </c>
      <c r="T29" s="6">
        <f>Table1[[#This Row],[Beneficiaries]]-Table1[[#This Row],[People_Gaining_Clean_Energy_Access]]</f>
        <v>102</v>
      </c>
      <c r="U29" s="5" t="str">
        <f>IF(Table1[[#This Row],[Target_Gap]]&gt;=0,"Meeting/Exceeding Target",
IF(Table1[[#This Row],[Target_Gap]]&gt;=-10,"Moderately Below Target","Significantly Below Target"))</f>
        <v>Moderately Below Target</v>
      </c>
    </row>
    <row r="30" spans="1:21" x14ac:dyDescent="0.25">
      <c r="A30" t="s">
        <v>72</v>
      </c>
      <c r="B30" t="s">
        <v>35</v>
      </c>
      <c r="C30" t="s">
        <v>29</v>
      </c>
      <c r="D30" t="s">
        <v>25</v>
      </c>
      <c r="E30">
        <v>42</v>
      </c>
      <c r="F30">
        <v>86</v>
      </c>
      <c r="G30">
        <v>73</v>
      </c>
      <c r="H30">
        <v>1348</v>
      </c>
      <c r="I30">
        <v>38</v>
      </c>
      <c r="J30">
        <v>79</v>
      </c>
      <c r="K30">
        <v>932</v>
      </c>
      <c r="L30" s="3">
        <v>0.98099999999999998</v>
      </c>
      <c r="M30">
        <v>4.4000000000000004</v>
      </c>
      <c r="N30">
        <v>31</v>
      </c>
      <c r="O30">
        <f>Table1[[#This Row],[Current_Achievement_%]]-Table1[[#This Row],[Baseline_pct]]</f>
        <v>31</v>
      </c>
      <c r="P30">
        <f>Table1[[#This Row],[Current_Achievement_%]]-Table1[[#This Row],[Target_%]]</f>
        <v>-13</v>
      </c>
      <c r="Q30" s="5">
        <f>Table1[[#This Row],[Current_Achievement_%]]/Table1[[#This Row],[Target_%]]</f>
        <v>0.84883720930232553</v>
      </c>
      <c r="R30" s="5">
        <f>Table1[[#This Row],[People_Gaining_Clean_Energy_Access]]/Table1[[#This Row],[Beneficiaries]]</f>
        <v>0.6913946587537092</v>
      </c>
      <c r="S30" s="5">
        <f>Table1[[#This Row],[Local_Jobs_Created]]/Table1[[#This Row],[People_Trained]]</f>
        <v>0.48101265822784811</v>
      </c>
      <c r="T30" s="6">
        <f>Table1[[#This Row],[Beneficiaries]]-Table1[[#This Row],[People_Gaining_Clean_Energy_Access]]</f>
        <v>416</v>
      </c>
      <c r="U30" s="5" t="str">
        <f>IF(Table1[[#This Row],[Target_Gap]]&gt;=0,"Meeting/Exceeding Target",
IF(Table1[[#This Row],[Target_Gap]]&gt;=-10,"Moderately Below Target","Significantly Below Target"))</f>
        <v>Significantly Below Target</v>
      </c>
    </row>
    <row r="31" spans="1:21" x14ac:dyDescent="0.25">
      <c r="A31" t="s">
        <v>73</v>
      </c>
      <c r="B31" t="s">
        <v>20</v>
      </c>
      <c r="C31" t="s">
        <v>74</v>
      </c>
      <c r="D31" t="s">
        <v>22</v>
      </c>
      <c r="E31">
        <v>34</v>
      </c>
      <c r="F31">
        <v>95</v>
      </c>
      <c r="G31">
        <v>79</v>
      </c>
      <c r="H31">
        <v>1551</v>
      </c>
      <c r="I31">
        <v>21</v>
      </c>
      <c r="J31">
        <v>292</v>
      </c>
      <c r="K31">
        <v>1511</v>
      </c>
      <c r="L31" s="3">
        <v>0.96199999999999997</v>
      </c>
      <c r="M31">
        <v>3.6</v>
      </c>
      <c r="N31">
        <v>45</v>
      </c>
      <c r="O31">
        <f>Table1[[#This Row],[Current_Achievement_%]]-Table1[[#This Row],[Baseline_pct]]</f>
        <v>45</v>
      </c>
      <c r="P31">
        <f>Table1[[#This Row],[Current_Achievement_%]]-Table1[[#This Row],[Target_%]]</f>
        <v>-16</v>
      </c>
      <c r="Q31" s="5">
        <f>Table1[[#This Row],[Current_Achievement_%]]/Table1[[#This Row],[Target_%]]</f>
        <v>0.83157894736842108</v>
      </c>
      <c r="R31" s="5">
        <f>Table1[[#This Row],[People_Gaining_Clean_Energy_Access]]/Table1[[#This Row],[Beneficiaries]]</f>
        <v>0.97421018697614448</v>
      </c>
      <c r="S31" s="5">
        <f>Table1[[#This Row],[Local_Jobs_Created]]/Table1[[#This Row],[People_Trained]]</f>
        <v>7.1917808219178078E-2</v>
      </c>
      <c r="T31" s="6">
        <f>Table1[[#This Row],[Beneficiaries]]-Table1[[#This Row],[People_Gaining_Clean_Energy_Access]]</f>
        <v>40</v>
      </c>
      <c r="U31" s="5" t="str">
        <f>IF(Table1[[#This Row],[Target_Gap]]&gt;=0,"Meeting/Exceeding Target",
IF(Table1[[#This Row],[Target_Gap]]&gt;=-10,"Moderately Below Target","Significantly Below Target"))</f>
        <v>Significantly Below Target</v>
      </c>
    </row>
    <row r="32" spans="1:21" x14ac:dyDescent="0.25">
      <c r="A32" t="s">
        <v>75</v>
      </c>
      <c r="B32" t="s">
        <v>15</v>
      </c>
      <c r="C32" t="s">
        <v>39</v>
      </c>
      <c r="D32" t="s">
        <v>17</v>
      </c>
      <c r="E32">
        <v>72</v>
      </c>
      <c r="F32">
        <v>84</v>
      </c>
      <c r="G32">
        <v>76</v>
      </c>
      <c r="H32">
        <v>1083</v>
      </c>
      <c r="I32">
        <v>38</v>
      </c>
      <c r="J32">
        <v>119</v>
      </c>
      <c r="K32">
        <v>962</v>
      </c>
      <c r="L32" s="3">
        <v>0.98199999999999998</v>
      </c>
      <c r="M32">
        <v>3.3</v>
      </c>
      <c r="N32">
        <v>4</v>
      </c>
      <c r="O32">
        <f>Table1[[#This Row],[Current_Achievement_%]]-Table1[[#This Row],[Baseline_pct]]</f>
        <v>4</v>
      </c>
      <c r="P32">
        <f>Table1[[#This Row],[Current_Achievement_%]]-Table1[[#This Row],[Target_%]]</f>
        <v>-8</v>
      </c>
      <c r="Q32" s="5">
        <f>Table1[[#This Row],[Current_Achievement_%]]/Table1[[#This Row],[Target_%]]</f>
        <v>0.90476190476190477</v>
      </c>
      <c r="R32" s="5">
        <f>Table1[[#This Row],[People_Gaining_Clean_Energy_Access]]/Table1[[#This Row],[Beneficiaries]]</f>
        <v>0.88827331486611261</v>
      </c>
      <c r="S32" s="5">
        <f>Table1[[#This Row],[Local_Jobs_Created]]/Table1[[#This Row],[People_Trained]]</f>
        <v>0.31932773109243695</v>
      </c>
      <c r="T32" s="6">
        <f>Table1[[#This Row],[Beneficiaries]]-Table1[[#This Row],[People_Gaining_Clean_Energy_Access]]</f>
        <v>121</v>
      </c>
      <c r="U32" s="5" t="str">
        <f>IF(Table1[[#This Row],[Target_Gap]]&gt;=0,"Meeting/Exceeding Target",
IF(Table1[[#This Row],[Target_Gap]]&gt;=-10,"Moderately Below Target","Significantly Below Target"))</f>
        <v>Moderately Below Target</v>
      </c>
    </row>
    <row r="33" spans="1:21" x14ac:dyDescent="0.25">
      <c r="A33" t="s">
        <v>76</v>
      </c>
      <c r="B33" t="s">
        <v>47</v>
      </c>
      <c r="C33" t="s">
        <v>41</v>
      </c>
      <c r="D33" t="s">
        <v>25</v>
      </c>
      <c r="E33">
        <v>46</v>
      </c>
      <c r="F33">
        <v>76</v>
      </c>
      <c r="G33">
        <v>67</v>
      </c>
      <c r="H33">
        <v>879</v>
      </c>
      <c r="I33">
        <v>39</v>
      </c>
      <c r="J33">
        <v>160</v>
      </c>
      <c r="K33">
        <v>734</v>
      </c>
      <c r="L33" s="3">
        <v>0.89600000000000002</v>
      </c>
      <c r="M33">
        <v>3.7</v>
      </c>
      <c r="N33">
        <v>21</v>
      </c>
      <c r="O33">
        <f>Table1[[#This Row],[Current_Achievement_%]]-Table1[[#This Row],[Baseline_pct]]</f>
        <v>21</v>
      </c>
      <c r="P33">
        <f>Table1[[#This Row],[Current_Achievement_%]]-Table1[[#This Row],[Target_%]]</f>
        <v>-9</v>
      </c>
      <c r="Q33" s="5">
        <f>Table1[[#This Row],[Current_Achievement_%]]/Table1[[#This Row],[Target_%]]</f>
        <v>0.88157894736842102</v>
      </c>
      <c r="R33" s="5">
        <f>Table1[[#This Row],[People_Gaining_Clean_Energy_Access]]/Table1[[#This Row],[Beneficiaries]]</f>
        <v>0.83503981797497151</v>
      </c>
      <c r="S33" s="5">
        <f>Table1[[#This Row],[Local_Jobs_Created]]/Table1[[#This Row],[People_Trained]]</f>
        <v>0.24374999999999999</v>
      </c>
      <c r="T33" s="6">
        <f>Table1[[#This Row],[Beneficiaries]]-Table1[[#This Row],[People_Gaining_Clean_Energy_Access]]</f>
        <v>145</v>
      </c>
      <c r="U33" s="5" t="str">
        <f>IF(Table1[[#This Row],[Target_Gap]]&gt;=0,"Meeting/Exceeding Target",
IF(Table1[[#This Row],[Target_Gap]]&gt;=-10,"Moderately Below Target","Significantly Below Target"))</f>
        <v>Moderately Below Target</v>
      </c>
    </row>
    <row r="34" spans="1:21" x14ac:dyDescent="0.25">
      <c r="A34" t="s">
        <v>77</v>
      </c>
      <c r="B34" t="s">
        <v>32</v>
      </c>
      <c r="C34" t="s">
        <v>16</v>
      </c>
      <c r="D34" t="s">
        <v>17</v>
      </c>
      <c r="E34">
        <v>45</v>
      </c>
      <c r="F34">
        <v>73</v>
      </c>
      <c r="G34">
        <v>66</v>
      </c>
      <c r="H34">
        <v>508</v>
      </c>
      <c r="I34">
        <v>31</v>
      </c>
      <c r="J34">
        <v>256</v>
      </c>
      <c r="K34">
        <v>456</v>
      </c>
      <c r="L34" s="3">
        <v>0.80100000000000005</v>
      </c>
      <c r="M34">
        <v>3.7</v>
      </c>
      <c r="N34">
        <v>21</v>
      </c>
      <c r="O34">
        <f>Table1[[#This Row],[Current_Achievement_%]]-Table1[[#This Row],[Baseline_pct]]</f>
        <v>21</v>
      </c>
      <c r="P34">
        <f>Table1[[#This Row],[Current_Achievement_%]]-Table1[[#This Row],[Target_%]]</f>
        <v>-7</v>
      </c>
      <c r="Q34" s="5">
        <f>Table1[[#This Row],[Current_Achievement_%]]/Table1[[#This Row],[Target_%]]</f>
        <v>0.90410958904109584</v>
      </c>
      <c r="R34" s="5">
        <f>Table1[[#This Row],[People_Gaining_Clean_Energy_Access]]/Table1[[#This Row],[Beneficiaries]]</f>
        <v>0.89763779527559051</v>
      </c>
      <c r="S34" s="5">
        <f>Table1[[#This Row],[Local_Jobs_Created]]/Table1[[#This Row],[People_Trained]]</f>
        <v>0.12109375</v>
      </c>
      <c r="T34" s="6">
        <f>Table1[[#This Row],[Beneficiaries]]-Table1[[#This Row],[People_Gaining_Clean_Energy_Access]]</f>
        <v>52</v>
      </c>
      <c r="U34" s="5" t="str">
        <f>IF(Table1[[#This Row],[Target_Gap]]&gt;=0,"Meeting/Exceeding Target",
IF(Table1[[#This Row],[Target_Gap]]&gt;=-10,"Moderately Below Target","Significantly Below Target"))</f>
        <v>Moderately Below Target</v>
      </c>
    </row>
    <row r="35" spans="1:21" x14ac:dyDescent="0.25">
      <c r="A35" t="s">
        <v>78</v>
      </c>
      <c r="B35" t="s">
        <v>20</v>
      </c>
      <c r="C35" t="s">
        <v>51</v>
      </c>
      <c r="D35" t="s">
        <v>25</v>
      </c>
      <c r="E35">
        <v>37</v>
      </c>
      <c r="F35">
        <v>76</v>
      </c>
      <c r="G35">
        <v>85</v>
      </c>
      <c r="H35">
        <v>1561</v>
      </c>
      <c r="I35">
        <v>21</v>
      </c>
      <c r="J35">
        <v>216</v>
      </c>
      <c r="K35">
        <v>1441</v>
      </c>
      <c r="L35" s="3">
        <v>0.86599999999999999</v>
      </c>
      <c r="M35">
        <v>4</v>
      </c>
      <c r="N35">
        <v>48</v>
      </c>
      <c r="O35">
        <f>Table1[[#This Row],[Current_Achievement_%]]-Table1[[#This Row],[Baseline_pct]]</f>
        <v>48</v>
      </c>
      <c r="P35">
        <f>Table1[[#This Row],[Current_Achievement_%]]-Table1[[#This Row],[Target_%]]</f>
        <v>9</v>
      </c>
      <c r="Q35" s="5">
        <f>Table1[[#This Row],[Current_Achievement_%]]/Table1[[#This Row],[Target_%]]</f>
        <v>1.118421052631579</v>
      </c>
      <c r="R35" s="5">
        <f>Table1[[#This Row],[People_Gaining_Clean_Energy_Access]]/Table1[[#This Row],[Beneficiaries]]</f>
        <v>0.92312620115310695</v>
      </c>
      <c r="S35" s="5">
        <f>Table1[[#This Row],[Local_Jobs_Created]]/Table1[[#This Row],[People_Trained]]</f>
        <v>9.7222222222222224E-2</v>
      </c>
      <c r="T35" s="6">
        <f>Table1[[#This Row],[Beneficiaries]]-Table1[[#This Row],[People_Gaining_Clean_Energy_Access]]</f>
        <v>120</v>
      </c>
      <c r="U35" s="5" t="str">
        <f>IF(Table1[[#This Row],[Target_Gap]]&gt;=0,"Meeting/Exceeding Target",
IF(Table1[[#This Row],[Target_Gap]]&gt;=-10,"Moderately Below Target","Significantly Below Target"))</f>
        <v>Meeting/Exceeding Target</v>
      </c>
    </row>
    <row r="36" spans="1:21" x14ac:dyDescent="0.25">
      <c r="A36" t="s">
        <v>79</v>
      </c>
      <c r="B36" t="s">
        <v>15</v>
      </c>
      <c r="C36" t="s">
        <v>80</v>
      </c>
      <c r="D36" t="s">
        <v>25</v>
      </c>
      <c r="E36">
        <v>35</v>
      </c>
      <c r="F36">
        <v>93</v>
      </c>
      <c r="G36">
        <v>100</v>
      </c>
      <c r="H36">
        <v>1737</v>
      </c>
      <c r="I36">
        <v>7</v>
      </c>
      <c r="J36">
        <v>112</v>
      </c>
      <c r="K36">
        <v>1685</v>
      </c>
      <c r="L36" s="3">
        <v>0.83399999999999996</v>
      </c>
      <c r="M36">
        <v>4.5999999999999996</v>
      </c>
      <c r="N36">
        <v>65</v>
      </c>
      <c r="O36">
        <f>Table1[[#This Row],[Current_Achievement_%]]-Table1[[#This Row],[Baseline_pct]]</f>
        <v>65</v>
      </c>
      <c r="P36">
        <f>Table1[[#This Row],[Current_Achievement_%]]-Table1[[#This Row],[Target_%]]</f>
        <v>7</v>
      </c>
      <c r="Q36" s="5">
        <f>Table1[[#This Row],[Current_Achievement_%]]/Table1[[#This Row],[Target_%]]</f>
        <v>1.075268817204301</v>
      </c>
      <c r="R36" s="5">
        <f>Table1[[#This Row],[People_Gaining_Clean_Energy_Access]]/Table1[[#This Row],[Beneficiaries]]</f>
        <v>0.970063327576281</v>
      </c>
      <c r="S36" s="5">
        <f>Table1[[#This Row],[Local_Jobs_Created]]/Table1[[#This Row],[People_Trained]]</f>
        <v>6.25E-2</v>
      </c>
      <c r="T36" s="6">
        <f>Table1[[#This Row],[Beneficiaries]]-Table1[[#This Row],[People_Gaining_Clean_Energy_Access]]</f>
        <v>52</v>
      </c>
      <c r="U36" s="5" t="str">
        <f>IF(Table1[[#This Row],[Target_Gap]]&gt;=0,"Meeting/Exceeding Target",
IF(Table1[[#This Row],[Target_Gap]]&gt;=-10,"Moderately Below Target","Significantly Below Target"))</f>
        <v>Meeting/Exceeding Target</v>
      </c>
    </row>
    <row r="37" spans="1:21" x14ac:dyDescent="0.25">
      <c r="A37" t="s">
        <v>81</v>
      </c>
      <c r="B37" t="s">
        <v>47</v>
      </c>
      <c r="C37" t="s">
        <v>63</v>
      </c>
      <c r="D37" t="s">
        <v>22</v>
      </c>
      <c r="E37">
        <v>66</v>
      </c>
      <c r="F37">
        <v>79</v>
      </c>
      <c r="G37">
        <v>66</v>
      </c>
      <c r="H37">
        <v>526</v>
      </c>
      <c r="I37">
        <v>70</v>
      </c>
      <c r="J37">
        <v>125</v>
      </c>
      <c r="K37">
        <v>343</v>
      </c>
      <c r="L37" s="3">
        <v>0.99</v>
      </c>
      <c r="M37">
        <v>4.8</v>
      </c>
      <c r="N37">
        <v>0</v>
      </c>
      <c r="O37">
        <f>Table1[[#This Row],[Current_Achievement_%]]-Table1[[#This Row],[Baseline_pct]]</f>
        <v>0</v>
      </c>
      <c r="P37">
        <f>Table1[[#This Row],[Current_Achievement_%]]-Table1[[#This Row],[Target_%]]</f>
        <v>-13</v>
      </c>
      <c r="Q37" s="5">
        <f>Table1[[#This Row],[Current_Achievement_%]]/Table1[[#This Row],[Target_%]]</f>
        <v>0.83544303797468356</v>
      </c>
      <c r="R37" s="5">
        <f>Table1[[#This Row],[People_Gaining_Clean_Energy_Access]]/Table1[[#This Row],[Beneficiaries]]</f>
        <v>0.65209125475285168</v>
      </c>
      <c r="S37" s="5">
        <f>Table1[[#This Row],[Local_Jobs_Created]]/Table1[[#This Row],[People_Trained]]</f>
        <v>0.56000000000000005</v>
      </c>
      <c r="T37" s="6">
        <f>Table1[[#This Row],[Beneficiaries]]-Table1[[#This Row],[People_Gaining_Clean_Energy_Access]]</f>
        <v>183</v>
      </c>
      <c r="U37" s="5" t="str">
        <f>IF(Table1[[#This Row],[Target_Gap]]&gt;=0,"Meeting/Exceeding Target",
IF(Table1[[#This Row],[Target_Gap]]&gt;=-10,"Moderately Below Target","Significantly Below Target"))</f>
        <v>Significantly Below Target</v>
      </c>
    </row>
    <row r="38" spans="1:21" x14ac:dyDescent="0.25">
      <c r="A38" t="s">
        <v>82</v>
      </c>
      <c r="B38" t="s">
        <v>32</v>
      </c>
      <c r="C38" t="s">
        <v>63</v>
      </c>
      <c r="D38" t="s">
        <v>68</v>
      </c>
      <c r="E38">
        <v>48</v>
      </c>
      <c r="F38">
        <v>74</v>
      </c>
      <c r="G38">
        <v>77</v>
      </c>
      <c r="H38">
        <v>805</v>
      </c>
      <c r="I38">
        <v>73</v>
      </c>
      <c r="J38">
        <v>310</v>
      </c>
      <c r="K38">
        <v>789</v>
      </c>
      <c r="L38" s="3">
        <v>0.86599999999999999</v>
      </c>
      <c r="M38">
        <v>4.5</v>
      </c>
      <c r="N38">
        <v>29</v>
      </c>
      <c r="O38">
        <f>Table1[[#This Row],[Current_Achievement_%]]-Table1[[#This Row],[Baseline_pct]]</f>
        <v>29</v>
      </c>
      <c r="P38">
        <f>Table1[[#This Row],[Current_Achievement_%]]-Table1[[#This Row],[Target_%]]</f>
        <v>3</v>
      </c>
      <c r="Q38" s="5">
        <f>Table1[[#This Row],[Current_Achievement_%]]/Table1[[#This Row],[Target_%]]</f>
        <v>1.0405405405405406</v>
      </c>
      <c r="R38" s="5">
        <f>Table1[[#This Row],[People_Gaining_Clean_Energy_Access]]/Table1[[#This Row],[Beneficiaries]]</f>
        <v>0.98012422360248452</v>
      </c>
      <c r="S38" s="5">
        <f>Table1[[#This Row],[Local_Jobs_Created]]/Table1[[#This Row],[People_Trained]]</f>
        <v>0.23548387096774193</v>
      </c>
      <c r="T38" s="6">
        <f>Table1[[#This Row],[Beneficiaries]]-Table1[[#This Row],[People_Gaining_Clean_Energy_Access]]</f>
        <v>16</v>
      </c>
      <c r="U38" s="5" t="str">
        <f>IF(Table1[[#This Row],[Target_Gap]]&gt;=0,"Meeting/Exceeding Target",
IF(Table1[[#This Row],[Target_Gap]]&gt;=-10,"Moderately Below Target","Significantly Below Target"))</f>
        <v>Meeting/Exceeding Target</v>
      </c>
    </row>
    <row r="39" spans="1:21" x14ac:dyDescent="0.25">
      <c r="A39" t="s">
        <v>83</v>
      </c>
      <c r="B39" t="s">
        <v>50</v>
      </c>
      <c r="C39" t="s">
        <v>16</v>
      </c>
      <c r="D39" t="s">
        <v>68</v>
      </c>
      <c r="E39">
        <v>41</v>
      </c>
      <c r="F39">
        <v>92</v>
      </c>
      <c r="G39">
        <v>64</v>
      </c>
      <c r="H39">
        <v>2378</v>
      </c>
      <c r="I39">
        <v>76</v>
      </c>
      <c r="J39">
        <v>298</v>
      </c>
      <c r="K39">
        <v>1600</v>
      </c>
      <c r="L39" s="3">
        <v>0.97099999999999997</v>
      </c>
      <c r="M39">
        <v>3.9</v>
      </c>
      <c r="N39">
        <v>23</v>
      </c>
      <c r="O39">
        <f>Table1[[#This Row],[Current_Achievement_%]]-Table1[[#This Row],[Baseline_pct]]</f>
        <v>23</v>
      </c>
      <c r="P39">
        <f>Table1[[#This Row],[Current_Achievement_%]]-Table1[[#This Row],[Target_%]]</f>
        <v>-28</v>
      </c>
      <c r="Q39" s="5">
        <f>Table1[[#This Row],[Current_Achievement_%]]/Table1[[#This Row],[Target_%]]</f>
        <v>0.69565217391304346</v>
      </c>
      <c r="R39" s="5">
        <f>Table1[[#This Row],[People_Gaining_Clean_Energy_Access]]/Table1[[#This Row],[Beneficiaries]]</f>
        <v>0.67283431455004206</v>
      </c>
      <c r="S39" s="5">
        <f>Table1[[#This Row],[Local_Jobs_Created]]/Table1[[#This Row],[People_Trained]]</f>
        <v>0.25503355704697989</v>
      </c>
      <c r="T39" s="6">
        <f>Table1[[#This Row],[Beneficiaries]]-Table1[[#This Row],[People_Gaining_Clean_Energy_Access]]</f>
        <v>778</v>
      </c>
      <c r="U39" s="5" t="str">
        <f>IF(Table1[[#This Row],[Target_Gap]]&gt;=0,"Meeting/Exceeding Target",
IF(Table1[[#This Row],[Target_Gap]]&gt;=-10,"Moderately Below Target","Significantly Below Target"))</f>
        <v>Significantly Below Target</v>
      </c>
    </row>
    <row r="40" spans="1:21" x14ac:dyDescent="0.25">
      <c r="A40" t="s">
        <v>84</v>
      </c>
      <c r="B40" t="s">
        <v>32</v>
      </c>
      <c r="C40" t="s">
        <v>63</v>
      </c>
      <c r="D40" t="s">
        <v>44</v>
      </c>
      <c r="E40">
        <v>57</v>
      </c>
      <c r="F40">
        <v>71</v>
      </c>
      <c r="G40">
        <v>57</v>
      </c>
      <c r="H40">
        <v>2495</v>
      </c>
      <c r="I40">
        <v>28</v>
      </c>
      <c r="J40">
        <v>93</v>
      </c>
      <c r="K40">
        <v>2405</v>
      </c>
      <c r="L40" s="3">
        <v>0.79800000000000004</v>
      </c>
      <c r="M40">
        <v>3.9</v>
      </c>
      <c r="N40">
        <v>0</v>
      </c>
      <c r="O40">
        <f>Table1[[#This Row],[Current_Achievement_%]]-Table1[[#This Row],[Baseline_pct]]</f>
        <v>0</v>
      </c>
      <c r="P40">
        <f>Table1[[#This Row],[Current_Achievement_%]]-Table1[[#This Row],[Target_%]]</f>
        <v>-14</v>
      </c>
      <c r="Q40" s="5">
        <f>Table1[[#This Row],[Current_Achievement_%]]/Table1[[#This Row],[Target_%]]</f>
        <v>0.80281690140845074</v>
      </c>
      <c r="R40" s="5">
        <f>Table1[[#This Row],[People_Gaining_Clean_Energy_Access]]/Table1[[#This Row],[Beneficiaries]]</f>
        <v>0.96392785571142281</v>
      </c>
      <c r="S40" s="5">
        <f>Table1[[#This Row],[Local_Jobs_Created]]/Table1[[#This Row],[People_Trained]]</f>
        <v>0.30107526881720431</v>
      </c>
      <c r="T40" s="6">
        <f>Table1[[#This Row],[Beneficiaries]]-Table1[[#This Row],[People_Gaining_Clean_Energy_Access]]</f>
        <v>90</v>
      </c>
      <c r="U40" s="5" t="str">
        <f>IF(Table1[[#This Row],[Target_Gap]]&gt;=0,"Meeting/Exceeding Target",
IF(Table1[[#This Row],[Target_Gap]]&gt;=-10,"Moderately Below Target","Significantly Below Target"))</f>
        <v>Significantly Below Target</v>
      </c>
    </row>
    <row r="41" spans="1:21" x14ac:dyDescent="0.25">
      <c r="A41" t="s">
        <v>85</v>
      </c>
      <c r="B41" t="s">
        <v>15</v>
      </c>
      <c r="C41" t="s">
        <v>63</v>
      </c>
      <c r="D41" t="s">
        <v>68</v>
      </c>
      <c r="E41">
        <v>43</v>
      </c>
      <c r="F41">
        <v>72</v>
      </c>
      <c r="G41">
        <v>56</v>
      </c>
      <c r="H41">
        <v>2226</v>
      </c>
      <c r="I41">
        <v>78</v>
      </c>
      <c r="J41">
        <v>30</v>
      </c>
      <c r="K41">
        <v>2093</v>
      </c>
      <c r="L41" s="3">
        <v>0.98399999999999999</v>
      </c>
      <c r="M41">
        <v>3.7</v>
      </c>
      <c r="N41">
        <v>13</v>
      </c>
      <c r="O41">
        <f>Table1[[#This Row],[Current_Achievement_%]]-Table1[[#This Row],[Baseline_pct]]</f>
        <v>13</v>
      </c>
      <c r="P41">
        <f>Table1[[#This Row],[Current_Achievement_%]]-Table1[[#This Row],[Target_%]]</f>
        <v>-16</v>
      </c>
      <c r="Q41" s="5">
        <f>Table1[[#This Row],[Current_Achievement_%]]/Table1[[#This Row],[Target_%]]</f>
        <v>0.77777777777777779</v>
      </c>
      <c r="R41" s="5">
        <f>Table1[[#This Row],[People_Gaining_Clean_Energy_Access]]/Table1[[#This Row],[Beneficiaries]]</f>
        <v>0.94025157232704404</v>
      </c>
      <c r="S41" s="5">
        <f>Table1[[#This Row],[Local_Jobs_Created]]/Table1[[#This Row],[People_Trained]]</f>
        <v>2.6</v>
      </c>
      <c r="T41" s="6">
        <f>Table1[[#This Row],[Beneficiaries]]-Table1[[#This Row],[People_Gaining_Clean_Energy_Access]]</f>
        <v>133</v>
      </c>
      <c r="U41" s="5" t="str">
        <f>IF(Table1[[#This Row],[Target_Gap]]&gt;=0,"Meeting/Exceeding Target",
IF(Table1[[#This Row],[Target_Gap]]&gt;=-10,"Moderately Below Target","Significantly Below Target"))</f>
        <v>Significantly Below Target</v>
      </c>
    </row>
    <row r="42" spans="1:21" x14ac:dyDescent="0.25">
      <c r="A42" t="s">
        <v>86</v>
      </c>
      <c r="B42" t="s">
        <v>38</v>
      </c>
      <c r="C42" t="s">
        <v>51</v>
      </c>
      <c r="D42" t="s">
        <v>44</v>
      </c>
      <c r="E42">
        <v>41</v>
      </c>
      <c r="F42">
        <v>94</v>
      </c>
      <c r="G42">
        <v>93</v>
      </c>
      <c r="H42">
        <v>889</v>
      </c>
      <c r="I42">
        <v>57</v>
      </c>
      <c r="J42">
        <v>291</v>
      </c>
      <c r="K42">
        <v>756</v>
      </c>
      <c r="L42" s="3">
        <v>0.86399999999999999</v>
      </c>
      <c r="M42">
        <v>3.2</v>
      </c>
      <c r="N42">
        <v>52</v>
      </c>
      <c r="O42">
        <f>Table1[[#This Row],[Current_Achievement_%]]-Table1[[#This Row],[Baseline_pct]]</f>
        <v>52</v>
      </c>
      <c r="P42">
        <f>Table1[[#This Row],[Current_Achievement_%]]-Table1[[#This Row],[Target_%]]</f>
        <v>-1</v>
      </c>
      <c r="Q42" s="5">
        <f>Table1[[#This Row],[Current_Achievement_%]]/Table1[[#This Row],[Target_%]]</f>
        <v>0.98936170212765961</v>
      </c>
      <c r="R42" s="5">
        <f>Table1[[#This Row],[People_Gaining_Clean_Energy_Access]]/Table1[[#This Row],[Beneficiaries]]</f>
        <v>0.85039370078740162</v>
      </c>
      <c r="S42" s="5">
        <f>Table1[[#This Row],[Local_Jobs_Created]]/Table1[[#This Row],[People_Trained]]</f>
        <v>0.19587628865979381</v>
      </c>
      <c r="T42" s="6">
        <f>Table1[[#This Row],[Beneficiaries]]-Table1[[#This Row],[People_Gaining_Clean_Energy_Access]]</f>
        <v>133</v>
      </c>
      <c r="U42" s="5" t="str">
        <f>IF(Table1[[#This Row],[Target_Gap]]&gt;=0,"Meeting/Exceeding Target",
IF(Table1[[#This Row],[Target_Gap]]&gt;=-10,"Moderately Below Target","Significantly Below Target"))</f>
        <v>Moderately Below Target</v>
      </c>
    </row>
    <row r="43" spans="1:21" x14ac:dyDescent="0.25">
      <c r="A43" t="s">
        <v>87</v>
      </c>
      <c r="B43" t="s">
        <v>35</v>
      </c>
      <c r="C43" t="s">
        <v>16</v>
      </c>
      <c r="D43" t="s">
        <v>68</v>
      </c>
      <c r="E43">
        <v>72</v>
      </c>
      <c r="F43">
        <v>84</v>
      </c>
      <c r="G43">
        <v>88</v>
      </c>
      <c r="H43">
        <v>1436</v>
      </c>
      <c r="I43">
        <v>7</v>
      </c>
      <c r="J43">
        <v>265</v>
      </c>
      <c r="K43">
        <v>1206</v>
      </c>
      <c r="L43" s="3">
        <v>0.83899999999999997</v>
      </c>
      <c r="M43">
        <v>4.4000000000000004</v>
      </c>
      <c r="N43">
        <v>16</v>
      </c>
      <c r="O43">
        <f>Table1[[#This Row],[Current_Achievement_%]]-Table1[[#This Row],[Baseline_pct]]</f>
        <v>16</v>
      </c>
      <c r="P43">
        <f>Table1[[#This Row],[Current_Achievement_%]]-Table1[[#This Row],[Target_%]]</f>
        <v>4</v>
      </c>
      <c r="Q43" s="5">
        <f>Table1[[#This Row],[Current_Achievement_%]]/Table1[[#This Row],[Target_%]]</f>
        <v>1.0476190476190477</v>
      </c>
      <c r="R43" s="5">
        <f>Table1[[#This Row],[People_Gaining_Clean_Energy_Access]]/Table1[[#This Row],[Beneficiaries]]</f>
        <v>0.83983286908077992</v>
      </c>
      <c r="S43" s="5">
        <f>Table1[[#This Row],[Local_Jobs_Created]]/Table1[[#This Row],[People_Trained]]</f>
        <v>2.6415094339622643E-2</v>
      </c>
      <c r="T43" s="6">
        <f>Table1[[#This Row],[Beneficiaries]]-Table1[[#This Row],[People_Gaining_Clean_Energy_Access]]</f>
        <v>230</v>
      </c>
      <c r="U43" s="5" t="str">
        <f>IF(Table1[[#This Row],[Target_Gap]]&gt;=0,"Meeting/Exceeding Target",
IF(Table1[[#This Row],[Target_Gap]]&gt;=-10,"Moderately Below Target","Significantly Below Target"))</f>
        <v>Meeting/Exceeding Target</v>
      </c>
    </row>
    <row r="44" spans="1:21" x14ac:dyDescent="0.25">
      <c r="A44" t="s">
        <v>88</v>
      </c>
      <c r="B44" t="s">
        <v>47</v>
      </c>
      <c r="C44" t="s">
        <v>39</v>
      </c>
      <c r="D44" t="s">
        <v>44</v>
      </c>
      <c r="E44">
        <v>69</v>
      </c>
      <c r="F44">
        <v>81</v>
      </c>
      <c r="G44">
        <v>69</v>
      </c>
      <c r="H44">
        <v>220</v>
      </c>
      <c r="I44">
        <v>46</v>
      </c>
      <c r="J44">
        <v>36</v>
      </c>
      <c r="K44">
        <v>160</v>
      </c>
      <c r="L44" s="3">
        <v>0.84799999999999998</v>
      </c>
      <c r="M44">
        <v>3.6</v>
      </c>
      <c r="N44">
        <v>0</v>
      </c>
      <c r="O44">
        <f>Table1[[#This Row],[Current_Achievement_%]]-Table1[[#This Row],[Baseline_pct]]</f>
        <v>0</v>
      </c>
      <c r="P44">
        <f>Table1[[#This Row],[Current_Achievement_%]]-Table1[[#This Row],[Target_%]]</f>
        <v>-12</v>
      </c>
      <c r="Q44" s="5">
        <f>Table1[[#This Row],[Current_Achievement_%]]/Table1[[#This Row],[Target_%]]</f>
        <v>0.85185185185185186</v>
      </c>
      <c r="R44" s="5">
        <f>Table1[[#This Row],[People_Gaining_Clean_Energy_Access]]/Table1[[#This Row],[Beneficiaries]]</f>
        <v>0.72727272727272729</v>
      </c>
      <c r="S44" s="5">
        <f>Table1[[#This Row],[Local_Jobs_Created]]/Table1[[#This Row],[People_Trained]]</f>
        <v>1.2777777777777777</v>
      </c>
      <c r="T44" s="6">
        <f>Table1[[#This Row],[Beneficiaries]]-Table1[[#This Row],[People_Gaining_Clean_Energy_Access]]</f>
        <v>60</v>
      </c>
      <c r="U44" s="5" t="str">
        <f>IF(Table1[[#This Row],[Target_Gap]]&gt;=0,"Meeting/Exceeding Target",
IF(Table1[[#This Row],[Target_Gap]]&gt;=-10,"Moderately Below Target","Significantly Below Target"))</f>
        <v>Significantly Below Target</v>
      </c>
    </row>
    <row r="45" spans="1:21" x14ac:dyDescent="0.25">
      <c r="A45" t="s">
        <v>89</v>
      </c>
      <c r="B45" t="s">
        <v>47</v>
      </c>
      <c r="C45" t="s">
        <v>74</v>
      </c>
      <c r="D45" t="s">
        <v>25</v>
      </c>
      <c r="E45">
        <v>45</v>
      </c>
      <c r="F45">
        <v>73</v>
      </c>
      <c r="G45">
        <v>49</v>
      </c>
      <c r="H45">
        <v>155</v>
      </c>
      <c r="I45">
        <v>33</v>
      </c>
      <c r="J45">
        <v>170</v>
      </c>
      <c r="K45">
        <v>112</v>
      </c>
      <c r="L45" s="3">
        <v>0.94199999999999995</v>
      </c>
      <c r="M45">
        <v>3.3</v>
      </c>
      <c r="N45">
        <v>4</v>
      </c>
      <c r="O45">
        <f>Table1[[#This Row],[Current_Achievement_%]]-Table1[[#This Row],[Baseline_pct]]</f>
        <v>4</v>
      </c>
      <c r="P45">
        <f>Table1[[#This Row],[Current_Achievement_%]]-Table1[[#This Row],[Target_%]]</f>
        <v>-24</v>
      </c>
      <c r="Q45" s="5">
        <f>Table1[[#This Row],[Current_Achievement_%]]/Table1[[#This Row],[Target_%]]</f>
        <v>0.67123287671232879</v>
      </c>
      <c r="R45" s="5">
        <f>Table1[[#This Row],[People_Gaining_Clean_Energy_Access]]/Table1[[#This Row],[Beneficiaries]]</f>
        <v>0.72258064516129028</v>
      </c>
      <c r="S45" s="5">
        <f>Table1[[#This Row],[Local_Jobs_Created]]/Table1[[#This Row],[People_Trained]]</f>
        <v>0.19411764705882353</v>
      </c>
      <c r="T45" s="6">
        <f>Table1[[#This Row],[Beneficiaries]]-Table1[[#This Row],[People_Gaining_Clean_Energy_Access]]</f>
        <v>43</v>
      </c>
      <c r="U45" s="5" t="str">
        <f>IF(Table1[[#This Row],[Target_Gap]]&gt;=0,"Meeting/Exceeding Target",
IF(Table1[[#This Row],[Target_Gap]]&gt;=-10,"Moderately Below Target","Significantly Below Target"))</f>
        <v>Significantly Below Target</v>
      </c>
    </row>
    <row r="46" spans="1:21" x14ac:dyDescent="0.25">
      <c r="A46" t="s">
        <v>90</v>
      </c>
      <c r="B46" t="s">
        <v>57</v>
      </c>
      <c r="C46" t="s">
        <v>55</v>
      </c>
      <c r="D46" t="s">
        <v>25</v>
      </c>
      <c r="E46">
        <v>44</v>
      </c>
      <c r="F46">
        <v>73</v>
      </c>
      <c r="G46">
        <v>62</v>
      </c>
      <c r="H46">
        <v>1539</v>
      </c>
      <c r="I46">
        <v>22</v>
      </c>
      <c r="J46">
        <v>125</v>
      </c>
      <c r="K46">
        <v>1112</v>
      </c>
      <c r="L46" s="3">
        <v>0.84399999999999997</v>
      </c>
      <c r="M46">
        <v>4.7</v>
      </c>
      <c r="N46">
        <v>18</v>
      </c>
      <c r="O46">
        <f>Table1[[#This Row],[Current_Achievement_%]]-Table1[[#This Row],[Baseline_pct]]</f>
        <v>18</v>
      </c>
      <c r="P46">
        <f>Table1[[#This Row],[Current_Achievement_%]]-Table1[[#This Row],[Target_%]]</f>
        <v>-11</v>
      </c>
      <c r="Q46" s="5">
        <f>Table1[[#This Row],[Current_Achievement_%]]/Table1[[#This Row],[Target_%]]</f>
        <v>0.84931506849315064</v>
      </c>
      <c r="R46" s="5">
        <f>Table1[[#This Row],[People_Gaining_Clean_Energy_Access]]/Table1[[#This Row],[Beneficiaries]]</f>
        <v>0.72254710851202075</v>
      </c>
      <c r="S46" s="5">
        <f>Table1[[#This Row],[Local_Jobs_Created]]/Table1[[#This Row],[People_Trained]]</f>
        <v>0.17599999999999999</v>
      </c>
      <c r="T46" s="6">
        <f>Table1[[#This Row],[Beneficiaries]]-Table1[[#This Row],[People_Gaining_Clean_Energy_Access]]</f>
        <v>427</v>
      </c>
      <c r="U46" s="5" t="str">
        <f>IF(Table1[[#This Row],[Target_Gap]]&gt;=0,"Meeting/Exceeding Target",
IF(Table1[[#This Row],[Target_Gap]]&gt;=-10,"Moderately Below Target","Significantly Below Target"))</f>
        <v>Significantly Below Target</v>
      </c>
    </row>
    <row r="47" spans="1:21" x14ac:dyDescent="0.25">
      <c r="A47" t="s">
        <v>91</v>
      </c>
      <c r="B47" t="s">
        <v>32</v>
      </c>
      <c r="C47" t="s">
        <v>36</v>
      </c>
      <c r="D47" t="s">
        <v>68</v>
      </c>
      <c r="E47">
        <v>65</v>
      </c>
      <c r="F47">
        <v>71</v>
      </c>
      <c r="G47">
        <v>83</v>
      </c>
      <c r="H47">
        <v>1029</v>
      </c>
      <c r="I47">
        <v>33</v>
      </c>
      <c r="J47">
        <v>64</v>
      </c>
      <c r="K47">
        <v>790</v>
      </c>
      <c r="L47" s="3">
        <v>0.95299999999999996</v>
      </c>
      <c r="M47">
        <v>3.6</v>
      </c>
      <c r="N47">
        <v>18</v>
      </c>
      <c r="O47">
        <f>Table1[[#This Row],[Current_Achievement_%]]-Table1[[#This Row],[Baseline_pct]]</f>
        <v>18</v>
      </c>
      <c r="P47">
        <f>Table1[[#This Row],[Current_Achievement_%]]-Table1[[#This Row],[Target_%]]</f>
        <v>12</v>
      </c>
      <c r="Q47" s="5">
        <f>Table1[[#This Row],[Current_Achievement_%]]/Table1[[#This Row],[Target_%]]</f>
        <v>1.1690140845070423</v>
      </c>
      <c r="R47" s="5">
        <f>Table1[[#This Row],[People_Gaining_Clean_Energy_Access]]/Table1[[#This Row],[Beneficiaries]]</f>
        <v>0.76773566569484941</v>
      </c>
      <c r="S47" s="5">
        <f>Table1[[#This Row],[Local_Jobs_Created]]/Table1[[#This Row],[People_Trained]]</f>
        <v>0.515625</v>
      </c>
      <c r="T47" s="6">
        <f>Table1[[#This Row],[Beneficiaries]]-Table1[[#This Row],[People_Gaining_Clean_Energy_Access]]</f>
        <v>239</v>
      </c>
      <c r="U47" s="5" t="str">
        <f>IF(Table1[[#This Row],[Target_Gap]]&gt;=0,"Meeting/Exceeding Target",
IF(Table1[[#This Row],[Target_Gap]]&gt;=-10,"Moderately Below Target","Significantly Below Target"))</f>
        <v>Meeting/Exceeding Target</v>
      </c>
    </row>
    <row r="48" spans="1:21" x14ac:dyDescent="0.25">
      <c r="A48" t="s">
        <v>92</v>
      </c>
      <c r="B48" t="s">
        <v>35</v>
      </c>
      <c r="C48" t="s">
        <v>48</v>
      </c>
      <c r="D48" t="s">
        <v>25</v>
      </c>
      <c r="E48">
        <v>51</v>
      </c>
      <c r="F48">
        <v>89</v>
      </c>
      <c r="G48">
        <v>76</v>
      </c>
      <c r="H48">
        <v>1470</v>
      </c>
      <c r="I48">
        <v>39</v>
      </c>
      <c r="J48">
        <v>348</v>
      </c>
      <c r="K48">
        <v>1073</v>
      </c>
      <c r="L48" s="3">
        <v>0.86799999999999999</v>
      </c>
      <c r="M48">
        <v>3.6</v>
      </c>
      <c r="N48">
        <v>25</v>
      </c>
      <c r="O48">
        <f>Table1[[#This Row],[Current_Achievement_%]]-Table1[[#This Row],[Baseline_pct]]</f>
        <v>25</v>
      </c>
      <c r="P48">
        <f>Table1[[#This Row],[Current_Achievement_%]]-Table1[[#This Row],[Target_%]]</f>
        <v>-13</v>
      </c>
      <c r="Q48" s="5">
        <f>Table1[[#This Row],[Current_Achievement_%]]/Table1[[#This Row],[Target_%]]</f>
        <v>0.8539325842696629</v>
      </c>
      <c r="R48" s="5">
        <f>Table1[[#This Row],[People_Gaining_Clean_Energy_Access]]/Table1[[#This Row],[Beneficiaries]]</f>
        <v>0.7299319727891157</v>
      </c>
      <c r="S48" s="5">
        <f>Table1[[#This Row],[Local_Jobs_Created]]/Table1[[#This Row],[People_Trained]]</f>
        <v>0.11206896551724138</v>
      </c>
      <c r="T48" s="6">
        <f>Table1[[#This Row],[Beneficiaries]]-Table1[[#This Row],[People_Gaining_Clean_Energy_Access]]</f>
        <v>397</v>
      </c>
      <c r="U48" s="5" t="str">
        <f>IF(Table1[[#This Row],[Target_Gap]]&gt;=0,"Meeting/Exceeding Target",
IF(Table1[[#This Row],[Target_Gap]]&gt;=-10,"Moderately Below Target","Significantly Below Target"))</f>
        <v>Significantly Below Target</v>
      </c>
    </row>
    <row r="49" spans="1:21" x14ac:dyDescent="0.25">
      <c r="A49" t="s">
        <v>93</v>
      </c>
      <c r="B49" t="s">
        <v>20</v>
      </c>
      <c r="C49" t="s">
        <v>63</v>
      </c>
      <c r="D49" t="s">
        <v>30</v>
      </c>
      <c r="E49">
        <v>61</v>
      </c>
      <c r="F49">
        <v>73</v>
      </c>
      <c r="G49">
        <v>73</v>
      </c>
      <c r="H49">
        <v>357</v>
      </c>
      <c r="I49">
        <v>61</v>
      </c>
      <c r="J49">
        <v>343</v>
      </c>
      <c r="K49">
        <v>265</v>
      </c>
      <c r="L49" s="3">
        <v>0.79700000000000004</v>
      </c>
      <c r="M49">
        <v>4.9000000000000004</v>
      </c>
      <c r="N49">
        <v>12</v>
      </c>
      <c r="O49">
        <f>Table1[[#This Row],[Current_Achievement_%]]-Table1[[#This Row],[Baseline_pct]]</f>
        <v>12</v>
      </c>
      <c r="P49">
        <f>Table1[[#This Row],[Current_Achievement_%]]-Table1[[#This Row],[Target_%]]</f>
        <v>0</v>
      </c>
      <c r="Q49" s="5">
        <f>Table1[[#This Row],[Current_Achievement_%]]/Table1[[#This Row],[Target_%]]</f>
        <v>1</v>
      </c>
      <c r="R49" s="5">
        <f>Table1[[#This Row],[People_Gaining_Clean_Energy_Access]]/Table1[[#This Row],[Beneficiaries]]</f>
        <v>0.74229691876750703</v>
      </c>
      <c r="S49" s="5">
        <f>Table1[[#This Row],[Local_Jobs_Created]]/Table1[[#This Row],[People_Trained]]</f>
        <v>0.17784256559766765</v>
      </c>
      <c r="T49" s="6">
        <f>Table1[[#This Row],[Beneficiaries]]-Table1[[#This Row],[People_Gaining_Clean_Energy_Access]]</f>
        <v>92</v>
      </c>
      <c r="U49" s="5" t="str">
        <f>IF(Table1[[#This Row],[Target_Gap]]&gt;=0,"Meeting/Exceeding Target",
IF(Table1[[#This Row],[Target_Gap]]&gt;=-10,"Moderately Below Target","Significantly Below Target"))</f>
        <v>Meeting/Exceeding Target</v>
      </c>
    </row>
    <row r="50" spans="1:21" x14ac:dyDescent="0.25">
      <c r="A50" t="s">
        <v>94</v>
      </c>
      <c r="B50" t="s">
        <v>15</v>
      </c>
      <c r="C50" t="s">
        <v>55</v>
      </c>
      <c r="D50" t="s">
        <v>30</v>
      </c>
      <c r="E50">
        <v>71</v>
      </c>
      <c r="F50">
        <v>72</v>
      </c>
      <c r="G50">
        <v>88</v>
      </c>
      <c r="H50">
        <v>1956</v>
      </c>
      <c r="I50">
        <v>64</v>
      </c>
      <c r="J50">
        <v>114</v>
      </c>
      <c r="K50">
        <v>1591</v>
      </c>
      <c r="L50" s="3">
        <v>0.91300000000000003</v>
      </c>
      <c r="M50">
        <v>3.9</v>
      </c>
      <c r="N50">
        <v>17</v>
      </c>
      <c r="O50">
        <f>Table1[[#This Row],[Current_Achievement_%]]-Table1[[#This Row],[Baseline_pct]]</f>
        <v>17</v>
      </c>
      <c r="P50">
        <f>Table1[[#This Row],[Current_Achievement_%]]-Table1[[#This Row],[Target_%]]</f>
        <v>16</v>
      </c>
      <c r="Q50" s="5">
        <f>Table1[[#This Row],[Current_Achievement_%]]/Table1[[#This Row],[Target_%]]</f>
        <v>1.2222222222222223</v>
      </c>
      <c r="R50" s="5">
        <f>Table1[[#This Row],[People_Gaining_Clean_Energy_Access]]/Table1[[#This Row],[Beneficiaries]]</f>
        <v>0.81339468302658491</v>
      </c>
      <c r="S50" s="5">
        <f>Table1[[#This Row],[Local_Jobs_Created]]/Table1[[#This Row],[People_Trained]]</f>
        <v>0.56140350877192979</v>
      </c>
      <c r="T50" s="6">
        <f>Table1[[#This Row],[Beneficiaries]]-Table1[[#This Row],[People_Gaining_Clean_Energy_Access]]</f>
        <v>365</v>
      </c>
      <c r="U50" s="5" t="str">
        <f>IF(Table1[[#This Row],[Target_Gap]]&gt;=0,"Meeting/Exceeding Target",
IF(Table1[[#This Row],[Target_Gap]]&gt;=-10,"Moderately Below Target","Significantly Below Target"))</f>
        <v>Meeting/Exceeding Target</v>
      </c>
    </row>
    <row r="51" spans="1:21" x14ac:dyDescent="0.25">
      <c r="A51" t="s">
        <v>95</v>
      </c>
      <c r="B51" t="s">
        <v>28</v>
      </c>
      <c r="C51" t="s">
        <v>16</v>
      </c>
      <c r="D51" t="s">
        <v>22</v>
      </c>
      <c r="E51">
        <v>53</v>
      </c>
      <c r="F51">
        <v>86</v>
      </c>
      <c r="G51">
        <v>100</v>
      </c>
      <c r="H51">
        <v>324</v>
      </c>
      <c r="I51">
        <v>34</v>
      </c>
      <c r="J51">
        <v>126</v>
      </c>
      <c r="K51">
        <v>242</v>
      </c>
      <c r="L51" s="3">
        <v>0.80800000000000005</v>
      </c>
      <c r="M51">
        <v>3.4</v>
      </c>
      <c r="N51">
        <v>47</v>
      </c>
      <c r="O51">
        <f>Table1[[#This Row],[Current_Achievement_%]]-Table1[[#This Row],[Baseline_pct]]</f>
        <v>47</v>
      </c>
      <c r="P51">
        <f>Table1[[#This Row],[Current_Achievement_%]]-Table1[[#This Row],[Target_%]]</f>
        <v>14</v>
      </c>
      <c r="Q51" s="5">
        <f>Table1[[#This Row],[Current_Achievement_%]]/Table1[[#This Row],[Target_%]]</f>
        <v>1.1627906976744187</v>
      </c>
      <c r="R51" s="5">
        <f>Table1[[#This Row],[People_Gaining_Clean_Energy_Access]]/Table1[[#This Row],[Beneficiaries]]</f>
        <v>0.74691358024691357</v>
      </c>
      <c r="S51" s="5">
        <f>Table1[[#This Row],[Local_Jobs_Created]]/Table1[[#This Row],[People_Trained]]</f>
        <v>0.26984126984126983</v>
      </c>
      <c r="T51" s="6">
        <f>Table1[[#This Row],[Beneficiaries]]-Table1[[#This Row],[People_Gaining_Clean_Energy_Access]]</f>
        <v>82</v>
      </c>
      <c r="U51" s="5" t="str">
        <f>IF(Table1[[#This Row],[Target_Gap]]&gt;=0,"Meeting/Exceeding Target",
IF(Table1[[#This Row],[Target_Gap]]&gt;=-10,"Moderately Below Target","Significantly Below Target"))</f>
        <v>Meeting/Exceeding Target</v>
      </c>
    </row>
    <row r="52" spans="1:21" x14ac:dyDescent="0.25">
      <c r="A52" t="s">
        <v>96</v>
      </c>
      <c r="B52" t="s">
        <v>15</v>
      </c>
      <c r="C52" t="s">
        <v>39</v>
      </c>
      <c r="D52" t="s">
        <v>22</v>
      </c>
      <c r="E52">
        <v>41</v>
      </c>
      <c r="F52">
        <v>86</v>
      </c>
      <c r="G52">
        <v>82</v>
      </c>
      <c r="H52">
        <v>1451</v>
      </c>
      <c r="I52">
        <v>68</v>
      </c>
      <c r="J52">
        <v>66</v>
      </c>
      <c r="K52">
        <v>1049</v>
      </c>
      <c r="L52" s="3">
        <v>0.94499999999999995</v>
      </c>
      <c r="M52">
        <v>3.6</v>
      </c>
      <c r="N52">
        <v>41</v>
      </c>
      <c r="O52">
        <f>Table1[[#This Row],[Current_Achievement_%]]-Table1[[#This Row],[Baseline_pct]]</f>
        <v>41</v>
      </c>
      <c r="P52">
        <f>Table1[[#This Row],[Current_Achievement_%]]-Table1[[#This Row],[Target_%]]</f>
        <v>-4</v>
      </c>
      <c r="Q52" s="5">
        <f>Table1[[#This Row],[Current_Achievement_%]]/Table1[[#This Row],[Target_%]]</f>
        <v>0.95348837209302328</v>
      </c>
      <c r="R52" s="5">
        <f>Table1[[#This Row],[People_Gaining_Clean_Energy_Access]]/Table1[[#This Row],[Beneficiaries]]</f>
        <v>0.72294968986905583</v>
      </c>
      <c r="S52" s="5">
        <f>Table1[[#This Row],[Local_Jobs_Created]]/Table1[[#This Row],[People_Trained]]</f>
        <v>1.0303030303030303</v>
      </c>
      <c r="T52" s="6">
        <f>Table1[[#This Row],[Beneficiaries]]-Table1[[#This Row],[People_Gaining_Clean_Energy_Access]]</f>
        <v>402</v>
      </c>
      <c r="U52" s="5" t="str">
        <f>IF(Table1[[#This Row],[Target_Gap]]&gt;=0,"Meeting/Exceeding Target",
IF(Table1[[#This Row],[Target_Gap]]&gt;=-10,"Moderately Below Target","Significantly Below Target"))</f>
        <v>Moderately Below Target</v>
      </c>
    </row>
    <row r="53" spans="1:21" x14ac:dyDescent="0.25">
      <c r="A53" t="s">
        <v>97</v>
      </c>
      <c r="B53" t="s">
        <v>47</v>
      </c>
      <c r="C53" t="s">
        <v>16</v>
      </c>
      <c r="D53" t="s">
        <v>30</v>
      </c>
      <c r="E53">
        <v>48</v>
      </c>
      <c r="F53">
        <v>95</v>
      </c>
      <c r="G53">
        <v>85</v>
      </c>
      <c r="H53">
        <v>91</v>
      </c>
      <c r="I53">
        <v>70</v>
      </c>
      <c r="J53">
        <v>302</v>
      </c>
      <c r="K53">
        <v>78</v>
      </c>
      <c r="L53" s="3">
        <v>0.91</v>
      </c>
      <c r="M53">
        <v>4.4000000000000004</v>
      </c>
      <c r="N53">
        <v>37</v>
      </c>
      <c r="O53">
        <f>Table1[[#This Row],[Current_Achievement_%]]-Table1[[#This Row],[Baseline_pct]]</f>
        <v>37</v>
      </c>
      <c r="P53">
        <f>Table1[[#This Row],[Current_Achievement_%]]-Table1[[#This Row],[Target_%]]</f>
        <v>-10</v>
      </c>
      <c r="Q53" s="5">
        <f>Table1[[#This Row],[Current_Achievement_%]]/Table1[[#This Row],[Target_%]]</f>
        <v>0.89473684210526316</v>
      </c>
      <c r="R53" s="5">
        <f>Table1[[#This Row],[People_Gaining_Clean_Energy_Access]]/Table1[[#This Row],[Beneficiaries]]</f>
        <v>0.8571428571428571</v>
      </c>
      <c r="S53" s="5">
        <f>Table1[[#This Row],[Local_Jobs_Created]]/Table1[[#This Row],[People_Trained]]</f>
        <v>0.23178807947019867</v>
      </c>
      <c r="T53" s="6">
        <f>Table1[[#This Row],[Beneficiaries]]-Table1[[#This Row],[People_Gaining_Clean_Energy_Access]]</f>
        <v>13</v>
      </c>
      <c r="U53" s="5" t="str">
        <f>IF(Table1[[#This Row],[Target_Gap]]&gt;=0,"Meeting/Exceeding Target",
IF(Table1[[#This Row],[Target_Gap]]&gt;=-10,"Moderately Below Target","Significantly Below Target"))</f>
        <v>Moderately Below Target</v>
      </c>
    </row>
    <row r="54" spans="1:21" x14ac:dyDescent="0.25">
      <c r="A54" t="s">
        <v>98</v>
      </c>
      <c r="B54" t="s">
        <v>35</v>
      </c>
      <c r="C54" t="s">
        <v>48</v>
      </c>
      <c r="D54" t="s">
        <v>44</v>
      </c>
      <c r="E54">
        <v>67</v>
      </c>
      <c r="F54">
        <v>94</v>
      </c>
      <c r="G54">
        <v>87</v>
      </c>
      <c r="H54">
        <v>1199</v>
      </c>
      <c r="I54">
        <v>13</v>
      </c>
      <c r="J54">
        <v>317</v>
      </c>
      <c r="K54">
        <v>877</v>
      </c>
      <c r="L54" s="3">
        <v>0.91400000000000003</v>
      </c>
      <c r="M54">
        <v>4.5</v>
      </c>
      <c r="N54">
        <v>20</v>
      </c>
      <c r="O54">
        <f>Table1[[#This Row],[Current_Achievement_%]]-Table1[[#This Row],[Baseline_pct]]</f>
        <v>20</v>
      </c>
      <c r="P54">
        <f>Table1[[#This Row],[Current_Achievement_%]]-Table1[[#This Row],[Target_%]]</f>
        <v>-7</v>
      </c>
      <c r="Q54" s="5">
        <f>Table1[[#This Row],[Current_Achievement_%]]/Table1[[#This Row],[Target_%]]</f>
        <v>0.92553191489361697</v>
      </c>
      <c r="R54" s="5">
        <f>Table1[[#This Row],[People_Gaining_Clean_Energy_Access]]/Table1[[#This Row],[Beneficiaries]]</f>
        <v>0.73144286905754796</v>
      </c>
      <c r="S54" s="5">
        <f>Table1[[#This Row],[Local_Jobs_Created]]/Table1[[#This Row],[People_Trained]]</f>
        <v>4.1009463722397478E-2</v>
      </c>
      <c r="T54" s="6">
        <f>Table1[[#This Row],[Beneficiaries]]-Table1[[#This Row],[People_Gaining_Clean_Energy_Access]]</f>
        <v>322</v>
      </c>
      <c r="U54" s="5" t="str">
        <f>IF(Table1[[#This Row],[Target_Gap]]&gt;=0,"Meeting/Exceeding Target",
IF(Table1[[#This Row],[Target_Gap]]&gt;=-10,"Moderately Below Target","Significantly Below Target"))</f>
        <v>Moderately Below Target</v>
      </c>
    </row>
    <row r="55" spans="1:21" x14ac:dyDescent="0.25">
      <c r="A55" t="s">
        <v>99</v>
      </c>
      <c r="B55" t="s">
        <v>57</v>
      </c>
      <c r="C55" t="s">
        <v>41</v>
      </c>
      <c r="D55" t="s">
        <v>44</v>
      </c>
      <c r="E55">
        <v>51</v>
      </c>
      <c r="F55">
        <v>94</v>
      </c>
      <c r="G55">
        <v>81</v>
      </c>
      <c r="H55">
        <v>1577</v>
      </c>
      <c r="I55">
        <v>69</v>
      </c>
      <c r="J55">
        <v>31</v>
      </c>
      <c r="K55">
        <v>1208</v>
      </c>
      <c r="L55" s="3">
        <v>0.88</v>
      </c>
      <c r="M55">
        <v>3.2</v>
      </c>
      <c r="N55">
        <v>30</v>
      </c>
      <c r="O55">
        <f>Table1[[#This Row],[Current_Achievement_%]]-Table1[[#This Row],[Baseline_pct]]</f>
        <v>30</v>
      </c>
      <c r="P55">
        <f>Table1[[#This Row],[Current_Achievement_%]]-Table1[[#This Row],[Target_%]]</f>
        <v>-13</v>
      </c>
      <c r="Q55" s="5">
        <f>Table1[[#This Row],[Current_Achievement_%]]/Table1[[#This Row],[Target_%]]</f>
        <v>0.86170212765957444</v>
      </c>
      <c r="R55" s="5">
        <f>Table1[[#This Row],[People_Gaining_Clean_Energy_Access]]/Table1[[#This Row],[Beneficiaries]]</f>
        <v>0.76601141407736206</v>
      </c>
      <c r="S55" s="5">
        <f>Table1[[#This Row],[Local_Jobs_Created]]/Table1[[#This Row],[People_Trained]]</f>
        <v>2.225806451612903</v>
      </c>
      <c r="T55" s="6">
        <f>Table1[[#This Row],[Beneficiaries]]-Table1[[#This Row],[People_Gaining_Clean_Energy_Access]]</f>
        <v>369</v>
      </c>
      <c r="U55" s="5" t="str">
        <f>IF(Table1[[#This Row],[Target_Gap]]&gt;=0,"Meeting/Exceeding Target",
IF(Table1[[#This Row],[Target_Gap]]&gt;=-10,"Moderately Below Target","Significantly Below Target"))</f>
        <v>Significantly Below Target</v>
      </c>
    </row>
    <row r="56" spans="1:21" x14ac:dyDescent="0.25">
      <c r="A56" t="s">
        <v>100</v>
      </c>
      <c r="B56" t="s">
        <v>20</v>
      </c>
      <c r="C56" t="s">
        <v>48</v>
      </c>
      <c r="D56" t="s">
        <v>22</v>
      </c>
      <c r="E56">
        <v>68</v>
      </c>
      <c r="F56">
        <v>71</v>
      </c>
      <c r="G56">
        <v>79</v>
      </c>
      <c r="H56">
        <v>400</v>
      </c>
      <c r="I56">
        <v>54</v>
      </c>
      <c r="J56">
        <v>143</v>
      </c>
      <c r="K56">
        <v>361</v>
      </c>
      <c r="L56" s="3">
        <v>0.88600000000000001</v>
      </c>
      <c r="M56">
        <v>4.3</v>
      </c>
      <c r="N56">
        <v>11</v>
      </c>
      <c r="O56">
        <f>Table1[[#This Row],[Current_Achievement_%]]-Table1[[#This Row],[Baseline_pct]]</f>
        <v>11</v>
      </c>
      <c r="P56">
        <f>Table1[[#This Row],[Current_Achievement_%]]-Table1[[#This Row],[Target_%]]</f>
        <v>8</v>
      </c>
      <c r="Q56" s="5">
        <f>Table1[[#This Row],[Current_Achievement_%]]/Table1[[#This Row],[Target_%]]</f>
        <v>1.1126760563380282</v>
      </c>
      <c r="R56" s="5">
        <f>Table1[[#This Row],[People_Gaining_Clean_Energy_Access]]/Table1[[#This Row],[Beneficiaries]]</f>
        <v>0.90249999999999997</v>
      </c>
      <c r="S56" s="5">
        <f>Table1[[#This Row],[Local_Jobs_Created]]/Table1[[#This Row],[People_Trained]]</f>
        <v>0.3776223776223776</v>
      </c>
      <c r="T56" s="6">
        <f>Table1[[#This Row],[Beneficiaries]]-Table1[[#This Row],[People_Gaining_Clean_Energy_Access]]</f>
        <v>39</v>
      </c>
      <c r="U56" s="5" t="str">
        <f>IF(Table1[[#This Row],[Target_Gap]]&gt;=0,"Meeting/Exceeding Target",
IF(Table1[[#This Row],[Target_Gap]]&gt;=-10,"Moderately Below Target","Significantly Below Target"))</f>
        <v>Meeting/Exceeding Target</v>
      </c>
    </row>
    <row r="57" spans="1:21" x14ac:dyDescent="0.25">
      <c r="A57" t="s">
        <v>101</v>
      </c>
      <c r="B57" t="s">
        <v>20</v>
      </c>
      <c r="C57" t="s">
        <v>51</v>
      </c>
      <c r="D57" t="s">
        <v>44</v>
      </c>
      <c r="E57">
        <v>58</v>
      </c>
      <c r="F57">
        <v>84</v>
      </c>
      <c r="G57">
        <v>81</v>
      </c>
      <c r="H57">
        <v>2252</v>
      </c>
      <c r="I57">
        <v>27</v>
      </c>
      <c r="J57">
        <v>129</v>
      </c>
      <c r="K57">
        <v>1534</v>
      </c>
      <c r="L57" s="3">
        <v>0.90900000000000003</v>
      </c>
      <c r="M57">
        <v>3.8</v>
      </c>
      <c r="N57">
        <v>23</v>
      </c>
      <c r="O57">
        <f>Table1[[#This Row],[Current_Achievement_%]]-Table1[[#This Row],[Baseline_pct]]</f>
        <v>23</v>
      </c>
      <c r="P57">
        <f>Table1[[#This Row],[Current_Achievement_%]]-Table1[[#This Row],[Target_%]]</f>
        <v>-3</v>
      </c>
      <c r="Q57" s="5">
        <f>Table1[[#This Row],[Current_Achievement_%]]/Table1[[#This Row],[Target_%]]</f>
        <v>0.9642857142857143</v>
      </c>
      <c r="R57" s="5">
        <f>Table1[[#This Row],[People_Gaining_Clean_Energy_Access]]/Table1[[#This Row],[Beneficiaries]]</f>
        <v>0.68117229129662527</v>
      </c>
      <c r="S57" s="5">
        <f>Table1[[#This Row],[Local_Jobs_Created]]/Table1[[#This Row],[People_Trained]]</f>
        <v>0.20930232558139536</v>
      </c>
      <c r="T57" s="6">
        <f>Table1[[#This Row],[Beneficiaries]]-Table1[[#This Row],[People_Gaining_Clean_Energy_Access]]</f>
        <v>718</v>
      </c>
      <c r="U57" s="5" t="str">
        <f>IF(Table1[[#This Row],[Target_Gap]]&gt;=0,"Meeting/Exceeding Target",
IF(Table1[[#This Row],[Target_Gap]]&gt;=-10,"Moderately Below Target","Significantly Below Target"))</f>
        <v>Moderately Below Target</v>
      </c>
    </row>
    <row r="58" spans="1:21" x14ac:dyDescent="0.25">
      <c r="A58" t="s">
        <v>102</v>
      </c>
      <c r="B58" t="s">
        <v>35</v>
      </c>
      <c r="C58" t="s">
        <v>48</v>
      </c>
      <c r="D58" t="s">
        <v>44</v>
      </c>
      <c r="E58">
        <v>74</v>
      </c>
      <c r="F58">
        <v>73</v>
      </c>
      <c r="G58">
        <v>78</v>
      </c>
      <c r="H58">
        <v>2333</v>
      </c>
      <c r="I58">
        <v>64</v>
      </c>
      <c r="J58">
        <v>236</v>
      </c>
      <c r="K58">
        <v>1767</v>
      </c>
      <c r="L58" s="3">
        <v>0.96</v>
      </c>
      <c r="M58">
        <v>4.2</v>
      </c>
      <c r="N58">
        <v>4</v>
      </c>
      <c r="O58">
        <f>Table1[[#This Row],[Current_Achievement_%]]-Table1[[#This Row],[Baseline_pct]]</f>
        <v>4</v>
      </c>
      <c r="P58">
        <f>Table1[[#This Row],[Current_Achievement_%]]-Table1[[#This Row],[Target_%]]</f>
        <v>5</v>
      </c>
      <c r="Q58" s="5">
        <f>Table1[[#This Row],[Current_Achievement_%]]/Table1[[#This Row],[Target_%]]</f>
        <v>1.0684931506849316</v>
      </c>
      <c r="R58" s="5">
        <f>Table1[[#This Row],[People_Gaining_Clean_Energy_Access]]/Table1[[#This Row],[Beneficiaries]]</f>
        <v>0.75739391341620232</v>
      </c>
      <c r="S58" s="5">
        <f>Table1[[#This Row],[Local_Jobs_Created]]/Table1[[#This Row],[People_Trained]]</f>
        <v>0.2711864406779661</v>
      </c>
      <c r="T58" s="6">
        <f>Table1[[#This Row],[Beneficiaries]]-Table1[[#This Row],[People_Gaining_Clean_Energy_Access]]</f>
        <v>566</v>
      </c>
      <c r="U58" s="5" t="str">
        <f>IF(Table1[[#This Row],[Target_Gap]]&gt;=0,"Meeting/Exceeding Target",
IF(Table1[[#This Row],[Target_Gap]]&gt;=-10,"Moderately Below Target","Significantly Below Target"))</f>
        <v>Meeting/Exceeding Target</v>
      </c>
    </row>
    <row r="59" spans="1:21" x14ac:dyDescent="0.25">
      <c r="A59" t="s">
        <v>103</v>
      </c>
      <c r="B59" t="s">
        <v>35</v>
      </c>
      <c r="C59" t="s">
        <v>33</v>
      </c>
      <c r="D59" t="s">
        <v>17</v>
      </c>
      <c r="E59">
        <v>61</v>
      </c>
      <c r="F59">
        <v>82</v>
      </c>
      <c r="G59">
        <v>69</v>
      </c>
      <c r="H59">
        <v>1858</v>
      </c>
      <c r="I59">
        <v>73</v>
      </c>
      <c r="J59">
        <v>106</v>
      </c>
      <c r="K59">
        <v>1569</v>
      </c>
      <c r="L59" s="3">
        <v>0.85399999999999998</v>
      </c>
      <c r="M59">
        <v>3.4</v>
      </c>
      <c r="N59">
        <v>8</v>
      </c>
      <c r="O59">
        <f>Table1[[#This Row],[Current_Achievement_%]]-Table1[[#This Row],[Baseline_pct]]</f>
        <v>8</v>
      </c>
      <c r="P59">
        <f>Table1[[#This Row],[Current_Achievement_%]]-Table1[[#This Row],[Target_%]]</f>
        <v>-13</v>
      </c>
      <c r="Q59" s="5">
        <f>Table1[[#This Row],[Current_Achievement_%]]/Table1[[#This Row],[Target_%]]</f>
        <v>0.84146341463414631</v>
      </c>
      <c r="R59" s="5">
        <f>Table1[[#This Row],[People_Gaining_Clean_Energy_Access]]/Table1[[#This Row],[Beneficiaries]]</f>
        <v>0.84445640473627559</v>
      </c>
      <c r="S59" s="5">
        <f>Table1[[#This Row],[Local_Jobs_Created]]/Table1[[#This Row],[People_Trained]]</f>
        <v>0.68867924528301883</v>
      </c>
      <c r="T59" s="6">
        <f>Table1[[#This Row],[Beneficiaries]]-Table1[[#This Row],[People_Gaining_Clean_Energy_Access]]</f>
        <v>289</v>
      </c>
      <c r="U59" s="5" t="str">
        <f>IF(Table1[[#This Row],[Target_Gap]]&gt;=0,"Meeting/Exceeding Target",
IF(Table1[[#This Row],[Target_Gap]]&gt;=-10,"Moderately Below Target","Significantly Below Target"))</f>
        <v>Significantly Below Target</v>
      </c>
    </row>
    <row r="60" spans="1:21" x14ac:dyDescent="0.25">
      <c r="A60" t="s">
        <v>104</v>
      </c>
      <c r="B60" t="s">
        <v>38</v>
      </c>
      <c r="C60" t="s">
        <v>36</v>
      </c>
      <c r="D60" t="s">
        <v>68</v>
      </c>
      <c r="E60">
        <v>73</v>
      </c>
      <c r="F60">
        <v>71</v>
      </c>
      <c r="G60">
        <v>73</v>
      </c>
      <c r="H60">
        <v>2236</v>
      </c>
      <c r="I60">
        <v>30</v>
      </c>
      <c r="J60">
        <v>123</v>
      </c>
      <c r="K60">
        <v>1678</v>
      </c>
      <c r="L60" s="3">
        <v>0.84399999999999997</v>
      </c>
      <c r="M60">
        <v>4.7</v>
      </c>
      <c r="N60">
        <v>0</v>
      </c>
      <c r="O60">
        <f>Table1[[#This Row],[Current_Achievement_%]]-Table1[[#This Row],[Baseline_pct]]</f>
        <v>0</v>
      </c>
      <c r="P60">
        <f>Table1[[#This Row],[Current_Achievement_%]]-Table1[[#This Row],[Target_%]]</f>
        <v>2</v>
      </c>
      <c r="Q60" s="5">
        <f>Table1[[#This Row],[Current_Achievement_%]]/Table1[[#This Row],[Target_%]]</f>
        <v>1.028169014084507</v>
      </c>
      <c r="R60" s="5">
        <f>Table1[[#This Row],[People_Gaining_Clean_Energy_Access]]/Table1[[#This Row],[Beneficiaries]]</f>
        <v>0.75044722719141321</v>
      </c>
      <c r="S60" s="5">
        <f>Table1[[#This Row],[Local_Jobs_Created]]/Table1[[#This Row],[People_Trained]]</f>
        <v>0.24390243902439024</v>
      </c>
      <c r="T60" s="6">
        <f>Table1[[#This Row],[Beneficiaries]]-Table1[[#This Row],[People_Gaining_Clean_Energy_Access]]</f>
        <v>558</v>
      </c>
      <c r="U60" s="5" t="str">
        <f>IF(Table1[[#This Row],[Target_Gap]]&gt;=0,"Meeting/Exceeding Target",
IF(Table1[[#This Row],[Target_Gap]]&gt;=-10,"Moderately Below Target","Significantly Below Target"))</f>
        <v>Meeting/Exceeding Target</v>
      </c>
    </row>
    <row r="61" spans="1:21" x14ac:dyDescent="0.25">
      <c r="A61" t="s">
        <v>105</v>
      </c>
      <c r="B61" t="s">
        <v>57</v>
      </c>
      <c r="C61" t="s">
        <v>24</v>
      </c>
      <c r="D61" t="s">
        <v>17</v>
      </c>
      <c r="E61">
        <v>57</v>
      </c>
      <c r="F61">
        <v>88</v>
      </c>
      <c r="G61">
        <v>97</v>
      </c>
      <c r="H61">
        <v>2065</v>
      </c>
      <c r="I61">
        <v>48</v>
      </c>
      <c r="J61">
        <v>344</v>
      </c>
      <c r="K61">
        <v>1623</v>
      </c>
      <c r="L61" s="3">
        <v>0.83199999999999996</v>
      </c>
      <c r="M61">
        <v>3.4</v>
      </c>
      <c r="N61">
        <v>40</v>
      </c>
      <c r="O61">
        <f>Table1[[#This Row],[Current_Achievement_%]]-Table1[[#This Row],[Baseline_pct]]</f>
        <v>40</v>
      </c>
      <c r="P61">
        <f>Table1[[#This Row],[Current_Achievement_%]]-Table1[[#This Row],[Target_%]]</f>
        <v>9</v>
      </c>
      <c r="Q61" s="5">
        <f>Table1[[#This Row],[Current_Achievement_%]]/Table1[[#This Row],[Target_%]]</f>
        <v>1.1022727272727273</v>
      </c>
      <c r="R61" s="5">
        <f>Table1[[#This Row],[People_Gaining_Clean_Energy_Access]]/Table1[[#This Row],[Beneficiaries]]</f>
        <v>0.78595641646489101</v>
      </c>
      <c r="S61" s="5">
        <f>Table1[[#This Row],[Local_Jobs_Created]]/Table1[[#This Row],[People_Trained]]</f>
        <v>0.13953488372093023</v>
      </c>
      <c r="T61" s="6">
        <f>Table1[[#This Row],[Beneficiaries]]-Table1[[#This Row],[People_Gaining_Clean_Energy_Access]]</f>
        <v>442</v>
      </c>
      <c r="U61" s="5" t="str">
        <f>IF(Table1[[#This Row],[Target_Gap]]&gt;=0,"Meeting/Exceeding Target",
IF(Table1[[#This Row],[Target_Gap]]&gt;=-10,"Moderately Below Target","Significantly Below Target"))</f>
        <v>Meeting/Exceeding Target</v>
      </c>
    </row>
    <row r="62" spans="1:21" x14ac:dyDescent="0.25">
      <c r="A62" t="s">
        <v>106</v>
      </c>
      <c r="B62" t="s">
        <v>32</v>
      </c>
      <c r="C62" t="s">
        <v>33</v>
      </c>
      <c r="D62" t="s">
        <v>30</v>
      </c>
      <c r="E62">
        <v>61</v>
      </c>
      <c r="F62">
        <v>80</v>
      </c>
      <c r="G62">
        <v>78</v>
      </c>
      <c r="H62">
        <v>2038</v>
      </c>
      <c r="I62">
        <v>57</v>
      </c>
      <c r="J62">
        <v>73</v>
      </c>
      <c r="K62">
        <v>1947</v>
      </c>
      <c r="L62" s="3">
        <v>0.99399999999999999</v>
      </c>
      <c r="M62">
        <v>4.2</v>
      </c>
      <c r="N62">
        <v>17</v>
      </c>
      <c r="O62">
        <f>Table1[[#This Row],[Current_Achievement_%]]-Table1[[#This Row],[Baseline_pct]]</f>
        <v>17</v>
      </c>
      <c r="P62">
        <f>Table1[[#This Row],[Current_Achievement_%]]-Table1[[#This Row],[Target_%]]</f>
        <v>-2</v>
      </c>
      <c r="Q62" s="5">
        <f>Table1[[#This Row],[Current_Achievement_%]]/Table1[[#This Row],[Target_%]]</f>
        <v>0.97499999999999998</v>
      </c>
      <c r="R62" s="5">
        <f>Table1[[#This Row],[People_Gaining_Clean_Energy_Access]]/Table1[[#This Row],[Beneficiaries]]</f>
        <v>0.95534838076545636</v>
      </c>
      <c r="S62" s="5">
        <f>Table1[[#This Row],[Local_Jobs_Created]]/Table1[[#This Row],[People_Trained]]</f>
        <v>0.78082191780821919</v>
      </c>
      <c r="T62" s="6">
        <f>Table1[[#This Row],[Beneficiaries]]-Table1[[#This Row],[People_Gaining_Clean_Energy_Access]]</f>
        <v>91</v>
      </c>
      <c r="U62" s="5" t="str">
        <f>IF(Table1[[#This Row],[Target_Gap]]&gt;=0,"Meeting/Exceeding Target",
IF(Table1[[#This Row],[Target_Gap]]&gt;=-10,"Moderately Below Target","Significantly Below Target"))</f>
        <v>Moderately Below Target</v>
      </c>
    </row>
    <row r="63" spans="1:21" x14ac:dyDescent="0.25">
      <c r="A63" t="s">
        <v>107</v>
      </c>
      <c r="B63" t="s">
        <v>38</v>
      </c>
      <c r="C63" t="s">
        <v>21</v>
      </c>
      <c r="D63" t="s">
        <v>22</v>
      </c>
      <c r="E63">
        <v>30</v>
      </c>
      <c r="F63">
        <v>86</v>
      </c>
      <c r="G63">
        <v>93</v>
      </c>
      <c r="H63">
        <v>87</v>
      </c>
      <c r="I63">
        <v>32</v>
      </c>
      <c r="J63">
        <v>131</v>
      </c>
      <c r="K63">
        <v>60</v>
      </c>
      <c r="L63" s="3">
        <v>0.91600000000000004</v>
      </c>
      <c r="M63">
        <v>3.4</v>
      </c>
      <c r="N63">
        <v>63</v>
      </c>
      <c r="O63">
        <f>Table1[[#This Row],[Current_Achievement_%]]-Table1[[#This Row],[Baseline_pct]]</f>
        <v>63</v>
      </c>
      <c r="P63">
        <f>Table1[[#This Row],[Current_Achievement_%]]-Table1[[#This Row],[Target_%]]</f>
        <v>7</v>
      </c>
      <c r="Q63" s="5">
        <f>Table1[[#This Row],[Current_Achievement_%]]/Table1[[#This Row],[Target_%]]</f>
        <v>1.0813953488372092</v>
      </c>
      <c r="R63" s="5">
        <f>Table1[[#This Row],[People_Gaining_Clean_Energy_Access]]/Table1[[#This Row],[Beneficiaries]]</f>
        <v>0.68965517241379315</v>
      </c>
      <c r="S63" s="5">
        <f>Table1[[#This Row],[Local_Jobs_Created]]/Table1[[#This Row],[People_Trained]]</f>
        <v>0.24427480916030533</v>
      </c>
      <c r="T63" s="6">
        <f>Table1[[#This Row],[Beneficiaries]]-Table1[[#This Row],[People_Gaining_Clean_Energy_Access]]</f>
        <v>27</v>
      </c>
      <c r="U63" s="5" t="str">
        <f>IF(Table1[[#This Row],[Target_Gap]]&gt;=0,"Meeting/Exceeding Target",
IF(Table1[[#This Row],[Target_Gap]]&gt;=-10,"Moderately Below Target","Significantly Below Target"))</f>
        <v>Meeting/Exceeding Target</v>
      </c>
    </row>
    <row r="64" spans="1:21" x14ac:dyDescent="0.25">
      <c r="A64" t="s">
        <v>108</v>
      </c>
      <c r="B64" t="s">
        <v>32</v>
      </c>
      <c r="C64" t="s">
        <v>48</v>
      </c>
      <c r="D64" t="s">
        <v>25</v>
      </c>
      <c r="E64">
        <v>38</v>
      </c>
      <c r="F64">
        <v>76</v>
      </c>
      <c r="G64">
        <v>71</v>
      </c>
      <c r="H64">
        <v>1875</v>
      </c>
      <c r="I64">
        <v>22</v>
      </c>
      <c r="J64">
        <v>121</v>
      </c>
      <c r="K64">
        <v>1279</v>
      </c>
      <c r="L64" s="3">
        <v>0.94799999999999995</v>
      </c>
      <c r="M64">
        <v>4.3</v>
      </c>
      <c r="N64">
        <v>33</v>
      </c>
      <c r="O64">
        <f>Table1[[#This Row],[Current_Achievement_%]]-Table1[[#This Row],[Baseline_pct]]</f>
        <v>33</v>
      </c>
      <c r="P64">
        <f>Table1[[#This Row],[Current_Achievement_%]]-Table1[[#This Row],[Target_%]]</f>
        <v>-5</v>
      </c>
      <c r="Q64" s="5">
        <f>Table1[[#This Row],[Current_Achievement_%]]/Table1[[#This Row],[Target_%]]</f>
        <v>0.93421052631578949</v>
      </c>
      <c r="R64" s="5">
        <f>Table1[[#This Row],[People_Gaining_Clean_Energy_Access]]/Table1[[#This Row],[Beneficiaries]]</f>
        <v>0.68213333333333337</v>
      </c>
      <c r="S64" s="5">
        <f>Table1[[#This Row],[Local_Jobs_Created]]/Table1[[#This Row],[People_Trained]]</f>
        <v>0.18181818181818182</v>
      </c>
      <c r="T64" s="6">
        <f>Table1[[#This Row],[Beneficiaries]]-Table1[[#This Row],[People_Gaining_Clean_Energy_Access]]</f>
        <v>596</v>
      </c>
      <c r="U64" s="5" t="str">
        <f>IF(Table1[[#This Row],[Target_Gap]]&gt;=0,"Meeting/Exceeding Target",
IF(Table1[[#This Row],[Target_Gap]]&gt;=-10,"Moderately Below Target","Significantly Below Target"))</f>
        <v>Moderately Below Target</v>
      </c>
    </row>
    <row r="65" spans="1:21" x14ac:dyDescent="0.25">
      <c r="A65" t="s">
        <v>109</v>
      </c>
      <c r="B65" t="s">
        <v>20</v>
      </c>
      <c r="C65" t="s">
        <v>16</v>
      </c>
      <c r="D65" t="s">
        <v>44</v>
      </c>
      <c r="E65">
        <v>74</v>
      </c>
      <c r="F65">
        <v>91</v>
      </c>
      <c r="G65">
        <v>79</v>
      </c>
      <c r="H65">
        <v>937</v>
      </c>
      <c r="I65">
        <v>29</v>
      </c>
      <c r="J65">
        <v>318</v>
      </c>
      <c r="K65">
        <v>700</v>
      </c>
      <c r="L65" s="3">
        <v>0.94599999999999995</v>
      </c>
      <c r="M65">
        <v>4.3</v>
      </c>
      <c r="N65">
        <v>5</v>
      </c>
      <c r="O65">
        <f>Table1[[#This Row],[Current_Achievement_%]]-Table1[[#This Row],[Baseline_pct]]</f>
        <v>5</v>
      </c>
      <c r="P65">
        <f>Table1[[#This Row],[Current_Achievement_%]]-Table1[[#This Row],[Target_%]]</f>
        <v>-12</v>
      </c>
      <c r="Q65" s="5">
        <f>Table1[[#This Row],[Current_Achievement_%]]/Table1[[#This Row],[Target_%]]</f>
        <v>0.86813186813186816</v>
      </c>
      <c r="R65" s="5">
        <f>Table1[[#This Row],[People_Gaining_Clean_Energy_Access]]/Table1[[#This Row],[Beneficiaries]]</f>
        <v>0.74706510138740667</v>
      </c>
      <c r="S65" s="5">
        <f>Table1[[#This Row],[Local_Jobs_Created]]/Table1[[#This Row],[People_Trained]]</f>
        <v>9.1194968553459113E-2</v>
      </c>
      <c r="T65" s="6">
        <f>Table1[[#This Row],[Beneficiaries]]-Table1[[#This Row],[People_Gaining_Clean_Energy_Access]]</f>
        <v>237</v>
      </c>
      <c r="U65" s="5" t="str">
        <f>IF(Table1[[#This Row],[Target_Gap]]&gt;=0,"Meeting/Exceeding Target",
IF(Table1[[#This Row],[Target_Gap]]&gt;=-10,"Moderately Below Target","Significantly Below Target"))</f>
        <v>Significantly Below Target</v>
      </c>
    </row>
    <row r="66" spans="1:21" x14ac:dyDescent="0.25">
      <c r="A66" t="s">
        <v>110</v>
      </c>
      <c r="B66" t="s">
        <v>15</v>
      </c>
      <c r="C66" t="s">
        <v>16</v>
      </c>
      <c r="D66" t="s">
        <v>17</v>
      </c>
      <c r="E66">
        <v>44</v>
      </c>
      <c r="F66">
        <v>92</v>
      </c>
      <c r="G66">
        <v>80</v>
      </c>
      <c r="H66">
        <v>1882</v>
      </c>
      <c r="I66">
        <v>29</v>
      </c>
      <c r="J66">
        <v>61</v>
      </c>
      <c r="K66">
        <v>1763</v>
      </c>
      <c r="L66" s="3">
        <v>0.78900000000000003</v>
      </c>
      <c r="M66">
        <v>4</v>
      </c>
      <c r="N66">
        <v>36</v>
      </c>
      <c r="O66">
        <f>Table1[[#This Row],[Current_Achievement_%]]-Table1[[#This Row],[Baseline_pct]]</f>
        <v>36</v>
      </c>
      <c r="P66">
        <f>Table1[[#This Row],[Current_Achievement_%]]-Table1[[#This Row],[Target_%]]</f>
        <v>-12</v>
      </c>
      <c r="Q66" s="5">
        <f>Table1[[#This Row],[Current_Achievement_%]]/Table1[[#This Row],[Target_%]]</f>
        <v>0.86956521739130432</v>
      </c>
      <c r="R66" s="5">
        <f>Table1[[#This Row],[People_Gaining_Clean_Energy_Access]]/Table1[[#This Row],[Beneficiaries]]</f>
        <v>0.93676939426142403</v>
      </c>
      <c r="S66" s="5">
        <f>Table1[[#This Row],[Local_Jobs_Created]]/Table1[[#This Row],[People_Trained]]</f>
        <v>0.47540983606557374</v>
      </c>
      <c r="T66" s="6">
        <f>Table1[[#This Row],[Beneficiaries]]-Table1[[#This Row],[People_Gaining_Clean_Energy_Access]]</f>
        <v>119</v>
      </c>
      <c r="U66" s="5" t="str">
        <f>IF(Table1[[#This Row],[Target_Gap]]&gt;=0,"Meeting/Exceeding Target",
IF(Table1[[#This Row],[Target_Gap]]&gt;=-10,"Moderately Below Target","Significantly Below Target"))</f>
        <v>Significantly Below Target</v>
      </c>
    </row>
    <row r="67" spans="1:21" x14ac:dyDescent="0.25">
      <c r="A67" t="s">
        <v>111</v>
      </c>
      <c r="B67" t="s">
        <v>35</v>
      </c>
      <c r="C67" t="s">
        <v>48</v>
      </c>
      <c r="D67" t="s">
        <v>44</v>
      </c>
      <c r="E67">
        <v>67</v>
      </c>
      <c r="F67">
        <v>86</v>
      </c>
      <c r="G67">
        <v>90</v>
      </c>
      <c r="H67">
        <v>1335</v>
      </c>
      <c r="I67">
        <v>75</v>
      </c>
      <c r="J67">
        <v>71</v>
      </c>
      <c r="K67">
        <v>1208</v>
      </c>
      <c r="L67" s="3">
        <v>0.85799999999999998</v>
      </c>
      <c r="M67">
        <v>4.3</v>
      </c>
      <c r="N67">
        <v>23</v>
      </c>
      <c r="O67">
        <f>Table1[[#This Row],[Current_Achievement_%]]-Table1[[#This Row],[Baseline_pct]]</f>
        <v>23</v>
      </c>
      <c r="P67">
        <f>Table1[[#This Row],[Current_Achievement_%]]-Table1[[#This Row],[Target_%]]</f>
        <v>4</v>
      </c>
      <c r="Q67" s="5">
        <f>Table1[[#This Row],[Current_Achievement_%]]/Table1[[#This Row],[Target_%]]</f>
        <v>1.0465116279069768</v>
      </c>
      <c r="R67" s="5">
        <f>Table1[[#This Row],[People_Gaining_Clean_Energy_Access]]/Table1[[#This Row],[Beneficiaries]]</f>
        <v>0.90486891385767787</v>
      </c>
      <c r="S67" s="5">
        <f>Table1[[#This Row],[Local_Jobs_Created]]/Table1[[#This Row],[People_Trained]]</f>
        <v>1.056338028169014</v>
      </c>
      <c r="T67" s="6">
        <f>Table1[[#This Row],[Beneficiaries]]-Table1[[#This Row],[People_Gaining_Clean_Energy_Access]]</f>
        <v>127</v>
      </c>
      <c r="U67" s="5" t="str">
        <f>IF(Table1[[#This Row],[Target_Gap]]&gt;=0,"Meeting/Exceeding Target",
IF(Table1[[#This Row],[Target_Gap]]&gt;=-10,"Moderately Below Target","Significantly Below Target"))</f>
        <v>Meeting/Exceeding Target</v>
      </c>
    </row>
    <row r="68" spans="1:21" x14ac:dyDescent="0.25">
      <c r="A68" t="s">
        <v>112</v>
      </c>
      <c r="B68" t="s">
        <v>32</v>
      </c>
      <c r="C68" t="s">
        <v>16</v>
      </c>
      <c r="D68" t="s">
        <v>68</v>
      </c>
      <c r="E68">
        <v>55</v>
      </c>
      <c r="F68">
        <v>75</v>
      </c>
      <c r="G68">
        <v>73</v>
      </c>
      <c r="H68">
        <v>1981</v>
      </c>
      <c r="I68">
        <v>15</v>
      </c>
      <c r="J68">
        <v>70</v>
      </c>
      <c r="K68">
        <v>1919</v>
      </c>
      <c r="L68" s="3">
        <v>0.78500000000000003</v>
      </c>
      <c r="M68">
        <v>3.7</v>
      </c>
      <c r="N68">
        <v>18</v>
      </c>
      <c r="O68">
        <f>Table1[[#This Row],[Current_Achievement_%]]-Table1[[#This Row],[Baseline_pct]]</f>
        <v>18</v>
      </c>
      <c r="P68">
        <f>Table1[[#This Row],[Current_Achievement_%]]-Table1[[#This Row],[Target_%]]</f>
        <v>-2</v>
      </c>
      <c r="Q68" s="5">
        <f>Table1[[#This Row],[Current_Achievement_%]]/Table1[[#This Row],[Target_%]]</f>
        <v>0.97333333333333338</v>
      </c>
      <c r="R68" s="5">
        <f>Table1[[#This Row],[People_Gaining_Clean_Energy_Access]]/Table1[[#This Row],[Beneficiaries]]</f>
        <v>0.96870267541645638</v>
      </c>
      <c r="S68" s="5">
        <f>Table1[[#This Row],[Local_Jobs_Created]]/Table1[[#This Row],[People_Trained]]</f>
        <v>0.21428571428571427</v>
      </c>
      <c r="T68" s="6">
        <f>Table1[[#This Row],[Beneficiaries]]-Table1[[#This Row],[People_Gaining_Clean_Energy_Access]]</f>
        <v>62</v>
      </c>
      <c r="U68" s="5" t="str">
        <f>IF(Table1[[#This Row],[Target_Gap]]&gt;=0,"Meeting/Exceeding Target",
IF(Table1[[#This Row],[Target_Gap]]&gt;=-10,"Moderately Below Target","Significantly Below Target"))</f>
        <v>Moderately Below Target</v>
      </c>
    </row>
    <row r="69" spans="1:21" x14ac:dyDescent="0.25">
      <c r="A69" t="s">
        <v>113</v>
      </c>
      <c r="B69" t="s">
        <v>20</v>
      </c>
      <c r="C69" t="s">
        <v>63</v>
      </c>
      <c r="D69" t="s">
        <v>25</v>
      </c>
      <c r="E69">
        <v>33</v>
      </c>
      <c r="F69">
        <v>80</v>
      </c>
      <c r="G69">
        <v>78</v>
      </c>
      <c r="H69">
        <v>1737</v>
      </c>
      <c r="I69">
        <v>14</v>
      </c>
      <c r="J69">
        <v>234</v>
      </c>
      <c r="K69">
        <v>1609</v>
      </c>
      <c r="L69" s="3">
        <v>0.84799999999999998</v>
      </c>
      <c r="M69">
        <v>4.2</v>
      </c>
      <c r="N69">
        <v>45</v>
      </c>
      <c r="O69">
        <f>Table1[[#This Row],[Current_Achievement_%]]-Table1[[#This Row],[Baseline_pct]]</f>
        <v>45</v>
      </c>
      <c r="P69">
        <f>Table1[[#This Row],[Current_Achievement_%]]-Table1[[#This Row],[Target_%]]</f>
        <v>-2</v>
      </c>
      <c r="Q69" s="5">
        <f>Table1[[#This Row],[Current_Achievement_%]]/Table1[[#This Row],[Target_%]]</f>
        <v>0.97499999999999998</v>
      </c>
      <c r="R69" s="5">
        <f>Table1[[#This Row],[People_Gaining_Clean_Energy_Access]]/Table1[[#This Row],[Beneficiaries]]</f>
        <v>0.92630972941853773</v>
      </c>
      <c r="S69" s="5">
        <f>Table1[[#This Row],[Local_Jobs_Created]]/Table1[[#This Row],[People_Trained]]</f>
        <v>5.9829059829059832E-2</v>
      </c>
      <c r="T69" s="6">
        <f>Table1[[#This Row],[Beneficiaries]]-Table1[[#This Row],[People_Gaining_Clean_Energy_Access]]</f>
        <v>128</v>
      </c>
      <c r="U69" s="5" t="str">
        <f>IF(Table1[[#This Row],[Target_Gap]]&gt;=0,"Meeting/Exceeding Target",
IF(Table1[[#This Row],[Target_Gap]]&gt;=-10,"Moderately Below Target","Significantly Below Target"))</f>
        <v>Moderately Below Target</v>
      </c>
    </row>
    <row r="70" spans="1:21" x14ac:dyDescent="0.25">
      <c r="A70" t="s">
        <v>114</v>
      </c>
      <c r="B70" t="s">
        <v>20</v>
      </c>
      <c r="C70" t="s">
        <v>63</v>
      </c>
      <c r="D70" t="s">
        <v>22</v>
      </c>
      <c r="E70">
        <v>58</v>
      </c>
      <c r="F70">
        <v>88</v>
      </c>
      <c r="G70">
        <v>88</v>
      </c>
      <c r="H70">
        <v>2461</v>
      </c>
      <c r="I70">
        <v>38</v>
      </c>
      <c r="J70">
        <v>305</v>
      </c>
      <c r="K70">
        <v>2029</v>
      </c>
      <c r="L70" s="3">
        <v>0.80300000000000005</v>
      </c>
      <c r="M70">
        <v>3.4</v>
      </c>
      <c r="N70">
        <v>30</v>
      </c>
      <c r="O70">
        <f>Table1[[#This Row],[Current_Achievement_%]]-Table1[[#This Row],[Baseline_pct]]</f>
        <v>30</v>
      </c>
      <c r="P70">
        <f>Table1[[#This Row],[Current_Achievement_%]]-Table1[[#This Row],[Target_%]]</f>
        <v>0</v>
      </c>
      <c r="Q70" s="5">
        <f>Table1[[#This Row],[Current_Achievement_%]]/Table1[[#This Row],[Target_%]]</f>
        <v>1</v>
      </c>
      <c r="R70" s="5">
        <f>Table1[[#This Row],[People_Gaining_Clean_Energy_Access]]/Table1[[#This Row],[Beneficiaries]]</f>
        <v>0.82446160097521337</v>
      </c>
      <c r="S70" s="5">
        <f>Table1[[#This Row],[Local_Jobs_Created]]/Table1[[#This Row],[People_Trained]]</f>
        <v>0.12459016393442623</v>
      </c>
      <c r="T70" s="6">
        <f>Table1[[#This Row],[Beneficiaries]]-Table1[[#This Row],[People_Gaining_Clean_Energy_Access]]</f>
        <v>432</v>
      </c>
      <c r="U70" s="5" t="str">
        <f>IF(Table1[[#This Row],[Target_Gap]]&gt;=0,"Meeting/Exceeding Target",
IF(Table1[[#This Row],[Target_Gap]]&gt;=-10,"Moderately Below Target","Significantly Below Target"))</f>
        <v>Meeting/Exceeding Target</v>
      </c>
    </row>
    <row r="71" spans="1:21" x14ac:dyDescent="0.25">
      <c r="A71" t="s">
        <v>115</v>
      </c>
      <c r="B71" t="s">
        <v>32</v>
      </c>
      <c r="C71" t="s">
        <v>41</v>
      </c>
      <c r="D71" t="s">
        <v>25</v>
      </c>
      <c r="E71">
        <v>44</v>
      </c>
      <c r="F71">
        <v>83</v>
      </c>
      <c r="G71">
        <v>76</v>
      </c>
      <c r="H71">
        <v>586</v>
      </c>
      <c r="I71">
        <v>50</v>
      </c>
      <c r="J71">
        <v>200</v>
      </c>
      <c r="K71">
        <v>471</v>
      </c>
      <c r="L71" s="3">
        <v>0.91900000000000004</v>
      </c>
      <c r="M71">
        <v>3.3</v>
      </c>
      <c r="N71">
        <v>32</v>
      </c>
      <c r="O71">
        <f>Table1[[#This Row],[Current_Achievement_%]]-Table1[[#This Row],[Baseline_pct]]</f>
        <v>32</v>
      </c>
      <c r="P71">
        <f>Table1[[#This Row],[Current_Achievement_%]]-Table1[[#This Row],[Target_%]]</f>
        <v>-7</v>
      </c>
      <c r="Q71" s="5">
        <f>Table1[[#This Row],[Current_Achievement_%]]/Table1[[#This Row],[Target_%]]</f>
        <v>0.91566265060240959</v>
      </c>
      <c r="R71" s="5">
        <f>Table1[[#This Row],[People_Gaining_Clean_Energy_Access]]/Table1[[#This Row],[Beneficiaries]]</f>
        <v>0.80375426621160406</v>
      </c>
      <c r="S71" s="5">
        <f>Table1[[#This Row],[Local_Jobs_Created]]/Table1[[#This Row],[People_Trained]]</f>
        <v>0.25</v>
      </c>
      <c r="T71" s="6">
        <f>Table1[[#This Row],[Beneficiaries]]-Table1[[#This Row],[People_Gaining_Clean_Energy_Access]]</f>
        <v>115</v>
      </c>
      <c r="U71" s="5" t="str">
        <f>IF(Table1[[#This Row],[Target_Gap]]&gt;=0,"Meeting/Exceeding Target",
IF(Table1[[#This Row],[Target_Gap]]&gt;=-10,"Moderately Below Target","Significantly Below Target"))</f>
        <v>Moderately Below Target</v>
      </c>
    </row>
    <row r="72" spans="1:21" x14ac:dyDescent="0.25">
      <c r="A72" t="s">
        <v>116</v>
      </c>
      <c r="B72" t="s">
        <v>15</v>
      </c>
      <c r="C72" t="s">
        <v>74</v>
      </c>
      <c r="D72" t="s">
        <v>68</v>
      </c>
      <c r="E72">
        <v>36</v>
      </c>
      <c r="F72">
        <v>91</v>
      </c>
      <c r="G72">
        <v>96</v>
      </c>
      <c r="H72">
        <v>1952</v>
      </c>
      <c r="I72">
        <v>44</v>
      </c>
      <c r="J72">
        <v>349</v>
      </c>
      <c r="K72">
        <v>1594</v>
      </c>
      <c r="L72" s="3">
        <v>0.90900000000000003</v>
      </c>
      <c r="M72">
        <v>4.2</v>
      </c>
      <c r="N72">
        <v>60</v>
      </c>
      <c r="O72">
        <f>Table1[[#This Row],[Current_Achievement_%]]-Table1[[#This Row],[Baseline_pct]]</f>
        <v>60</v>
      </c>
      <c r="P72">
        <f>Table1[[#This Row],[Current_Achievement_%]]-Table1[[#This Row],[Target_%]]</f>
        <v>5</v>
      </c>
      <c r="Q72" s="5">
        <f>Table1[[#This Row],[Current_Achievement_%]]/Table1[[#This Row],[Target_%]]</f>
        <v>1.054945054945055</v>
      </c>
      <c r="R72" s="5">
        <f>Table1[[#This Row],[People_Gaining_Clean_Energy_Access]]/Table1[[#This Row],[Beneficiaries]]</f>
        <v>0.81659836065573765</v>
      </c>
      <c r="S72" s="5">
        <f>Table1[[#This Row],[Local_Jobs_Created]]/Table1[[#This Row],[People_Trained]]</f>
        <v>0.12607449856733524</v>
      </c>
      <c r="T72" s="6">
        <f>Table1[[#This Row],[Beneficiaries]]-Table1[[#This Row],[People_Gaining_Clean_Energy_Access]]</f>
        <v>358</v>
      </c>
      <c r="U72" s="5" t="str">
        <f>IF(Table1[[#This Row],[Target_Gap]]&gt;=0,"Meeting/Exceeding Target",
IF(Table1[[#This Row],[Target_Gap]]&gt;=-10,"Moderately Below Target","Significantly Below Target"))</f>
        <v>Meeting/Exceeding Target</v>
      </c>
    </row>
    <row r="73" spans="1:21" x14ac:dyDescent="0.25">
      <c r="A73" t="s">
        <v>117</v>
      </c>
      <c r="B73" t="s">
        <v>35</v>
      </c>
      <c r="C73" t="s">
        <v>48</v>
      </c>
      <c r="D73" t="s">
        <v>17</v>
      </c>
      <c r="E73">
        <v>62</v>
      </c>
      <c r="F73">
        <v>70</v>
      </c>
      <c r="G73">
        <v>70</v>
      </c>
      <c r="H73">
        <v>1619</v>
      </c>
      <c r="I73">
        <v>20</v>
      </c>
      <c r="J73">
        <v>151</v>
      </c>
      <c r="K73">
        <v>1170</v>
      </c>
      <c r="L73" s="3">
        <v>0.79300000000000004</v>
      </c>
      <c r="M73">
        <v>4.0999999999999996</v>
      </c>
      <c r="N73">
        <v>8</v>
      </c>
      <c r="O73">
        <f>Table1[[#This Row],[Current_Achievement_%]]-Table1[[#This Row],[Baseline_pct]]</f>
        <v>8</v>
      </c>
      <c r="P73">
        <f>Table1[[#This Row],[Current_Achievement_%]]-Table1[[#This Row],[Target_%]]</f>
        <v>0</v>
      </c>
      <c r="Q73" s="5">
        <f>Table1[[#This Row],[Current_Achievement_%]]/Table1[[#This Row],[Target_%]]</f>
        <v>1</v>
      </c>
      <c r="R73" s="5">
        <f>Table1[[#This Row],[People_Gaining_Clean_Energy_Access]]/Table1[[#This Row],[Beneficiaries]]</f>
        <v>0.72266831377393448</v>
      </c>
      <c r="S73" s="5">
        <f>Table1[[#This Row],[Local_Jobs_Created]]/Table1[[#This Row],[People_Trained]]</f>
        <v>0.13245033112582782</v>
      </c>
      <c r="T73" s="6">
        <f>Table1[[#This Row],[Beneficiaries]]-Table1[[#This Row],[People_Gaining_Clean_Energy_Access]]</f>
        <v>449</v>
      </c>
      <c r="U73" s="5" t="str">
        <f>IF(Table1[[#This Row],[Target_Gap]]&gt;=0,"Meeting/Exceeding Target",
IF(Table1[[#This Row],[Target_Gap]]&gt;=-10,"Moderately Below Target","Significantly Below Target"))</f>
        <v>Meeting/Exceeding Target</v>
      </c>
    </row>
    <row r="74" spans="1:21" x14ac:dyDescent="0.25">
      <c r="A74" t="s">
        <v>118</v>
      </c>
      <c r="B74" t="s">
        <v>28</v>
      </c>
      <c r="C74" t="s">
        <v>41</v>
      </c>
      <c r="D74" t="s">
        <v>68</v>
      </c>
      <c r="E74">
        <v>64</v>
      </c>
      <c r="F74">
        <v>77</v>
      </c>
      <c r="G74">
        <v>64</v>
      </c>
      <c r="H74">
        <v>999</v>
      </c>
      <c r="I74">
        <v>39</v>
      </c>
      <c r="J74">
        <v>263</v>
      </c>
      <c r="K74">
        <v>677</v>
      </c>
      <c r="L74" s="3">
        <v>0.90200000000000002</v>
      </c>
      <c r="M74">
        <v>4.7</v>
      </c>
      <c r="N74">
        <v>0</v>
      </c>
      <c r="O74">
        <f>Table1[[#This Row],[Current_Achievement_%]]-Table1[[#This Row],[Baseline_pct]]</f>
        <v>0</v>
      </c>
      <c r="P74">
        <f>Table1[[#This Row],[Current_Achievement_%]]-Table1[[#This Row],[Target_%]]</f>
        <v>-13</v>
      </c>
      <c r="Q74" s="5">
        <f>Table1[[#This Row],[Current_Achievement_%]]/Table1[[#This Row],[Target_%]]</f>
        <v>0.83116883116883122</v>
      </c>
      <c r="R74" s="5">
        <f>Table1[[#This Row],[People_Gaining_Clean_Energy_Access]]/Table1[[#This Row],[Beneficiaries]]</f>
        <v>0.67767767767767773</v>
      </c>
      <c r="S74" s="5">
        <f>Table1[[#This Row],[Local_Jobs_Created]]/Table1[[#This Row],[People_Trained]]</f>
        <v>0.14828897338403041</v>
      </c>
      <c r="T74" s="6">
        <f>Table1[[#This Row],[Beneficiaries]]-Table1[[#This Row],[People_Gaining_Clean_Energy_Access]]</f>
        <v>322</v>
      </c>
      <c r="U74" s="5" t="str">
        <f>IF(Table1[[#This Row],[Target_Gap]]&gt;=0,"Meeting/Exceeding Target",
IF(Table1[[#This Row],[Target_Gap]]&gt;=-10,"Moderately Below Target","Significantly Below Target"))</f>
        <v>Significantly Below Target</v>
      </c>
    </row>
    <row r="75" spans="1:21" x14ac:dyDescent="0.25">
      <c r="A75" t="s">
        <v>119</v>
      </c>
      <c r="B75" t="s">
        <v>28</v>
      </c>
      <c r="C75" t="s">
        <v>16</v>
      </c>
      <c r="D75" t="s">
        <v>30</v>
      </c>
      <c r="E75">
        <v>58</v>
      </c>
      <c r="F75">
        <v>85</v>
      </c>
      <c r="G75">
        <v>91</v>
      </c>
      <c r="H75">
        <v>2387</v>
      </c>
      <c r="I75">
        <v>40</v>
      </c>
      <c r="J75">
        <v>36</v>
      </c>
      <c r="K75">
        <v>1989</v>
      </c>
      <c r="L75" s="3">
        <v>0.84899999999999998</v>
      </c>
      <c r="M75">
        <v>4</v>
      </c>
      <c r="N75">
        <v>33</v>
      </c>
      <c r="O75">
        <f>Table1[[#This Row],[Current_Achievement_%]]-Table1[[#This Row],[Baseline_pct]]</f>
        <v>33</v>
      </c>
      <c r="P75">
        <f>Table1[[#This Row],[Current_Achievement_%]]-Table1[[#This Row],[Target_%]]</f>
        <v>6</v>
      </c>
      <c r="Q75" s="5">
        <f>Table1[[#This Row],[Current_Achievement_%]]/Table1[[#This Row],[Target_%]]</f>
        <v>1.0705882352941176</v>
      </c>
      <c r="R75" s="5">
        <f>Table1[[#This Row],[People_Gaining_Clean_Energy_Access]]/Table1[[#This Row],[Beneficiaries]]</f>
        <v>0.83326351068286553</v>
      </c>
      <c r="S75" s="5">
        <f>Table1[[#This Row],[Local_Jobs_Created]]/Table1[[#This Row],[People_Trained]]</f>
        <v>1.1111111111111112</v>
      </c>
      <c r="T75" s="6">
        <f>Table1[[#This Row],[Beneficiaries]]-Table1[[#This Row],[People_Gaining_Clean_Energy_Access]]</f>
        <v>398</v>
      </c>
      <c r="U75" s="5" t="str">
        <f>IF(Table1[[#This Row],[Target_Gap]]&gt;=0,"Meeting/Exceeding Target",
IF(Table1[[#This Row],[Target_Gap]]&gt;=-10,"Moderately Below Target","Significantly Below Target"))</f>
        <v>Meeting/Exceeding Target</v>
      </c>
    </row>
    <row r="76" spans="1:21" x14ac:dyDescent="0.25">
      <c r="A76" t="s">
        <v>120</v>
      </c>
      <c r="B76" t="s">
        <v>20</v>
      </c>
      <c r="C76" t="s">
        <v>80</v>
      </c>
      <c r="D76" t="s">
        <v>30</v>
      </c>
      <c r="E76">
        <v>59</v>
      </c>
      <c r="F76">
        <v>91</v>
      </c>
      <c r="G76">
        <v>88</v>
      </c>
      <c r="H76">
        <v>1169</v>
      </c>
      <c r="I76">
        <v>15</v>
      </c>
      <c r="J76">
        <v>241</v>
      </c>
      <c r="K76">
        <v>907</v>
      </c>
      <c r="L76" s="3">
        <v>0.84599999999999997</v>
      </c>
      <c r="M76">
        <v>3.5</v>
      </c>
      <c r="N76">
        <v>29</v>
      </c>
      <c r="O76">
        <f>Table1[[#This Row],[Current_Achievement_%]]-Table1[[#This Row],[Baseline_pct]]</f>
        <v>29</v>
      </c>
      <c r="P76">
        <f>Table1[[#This Row],[Current_Achievement_%]]-Table1[[#This Row],[Target_%]]</f>
        <v>-3</v>
      </c>
      <c r="Q76" s="5">
        <f>Table1[[#This Row],[Current_Achievement_%]]/Table1[[#This Row],[Target_%]]</f>
        <v>0.96703296703296704</v>
      </c>
      <c r="R76" s="5">
        <f>Table1[[#This Row],[People_Gaining_Clean_Energy_Access]]/Table1[[#This Row],[Beneficiaries]]</f>
        <v>0.77587681779298545</v>
      </c>
      <c r="S76" s="5">
        <f>Table1[[#This Row],[Local_Jobs_Created]]/Table1[[#This Row],[People_Trained]]</f>
        <v>6.2240663900414939E-2</v>
      </c>
      <c r="T76" s="6">
        <f>Table1[[#This Row],[Beneficiaries]]-Table1[[#This Row],[People_Gaining_Clean_Energy_Access]]</f>
        <v>262</v>
      </c>
      <c r="U76" s="5" t="str">
        <f>IF(Table1[[#This Row],[Target_Gap]]&gt;=0,"Meeting/Exceeding Target",
IF(Table1[[#This Row],[Target_Gap]]&gt;=-10,"Moderately Below Target","Significantly Below Target"))</f>
        <v>Moderately Below Target</v>
      </c>
    </row>
    <row r="77" spans="1:21" x14ac:dyDescent="0.25">
      <c r="A77" t="s">
        <v>121</v>
      </c>
      <c r="B77" t="s">
        <v>38</v>
      </c>
      <c r="C77" t="s">
        <v>74</v>
      </c>
      <c r="D77" t="s">
        <v>22</v>
      </c>
      <c r="E77">
        <v>52</v>
      </c>
      <c r="F77">
        <v>95</v>
      </c>
      <c r="G77">
        <v>96</v>
      </c>
      <c r="H77">
        <v>1815</v>
      </c>
      <c r="I77">
        <v>27</v>
      </c>
      <c r="J77">
        <v>105</v>
      </c>
      <c r="K77">
        <v>1478</v>
      </c>
      <c r="L77" s="3">
        <v>0.871</v>
      </c>
      <c r="M77">
        <v>4.9000000000000004</v>
      </c>
      <c r="N77">
        <v>44</v>
      </c>
      <c r="O77">
        <f>Table1[[#This Row],[Current_Achievement_%]]-Table1[[#This Row],[Baseline_pct]]</f>
        <v>44</v>
      </c>
      <c r="P77">
        <f>Table1[[#This Row],[Current_Achievement_%]]-Table1[[#This Row],[Target_%]]</f>
        <v>1</v>
      </c>
      <c r="Q77" s="5">
        <f>Table1[[#This Row],[Current_Achievement_%]]/Table1[[#This Row],[Target_%]]</f>
        <v>1.0105263157894737</v>
      </c>
      <c r="R77" s="5">
        <f>Table1[[#This Row],[People_Gaining_Clean_Energy_Access]]/Table1[[#This Row],[Beneficiaries]]</f>
        <v>0.81432506887052336</v>
      </c>
      <c r="S77" s="5">
        <f>Table1[[#This Row],[Local_Jobs_Created]]/Table1[[#This Row],[People_Trained]]</f>
        <v>0.25714285714285712</v>
      </c>
      <c r="T77" s="6">
        <f>Table1[[#This Row],[Beneficiaries]]-Table1[[#This Row],[People_Gaining_Clean_Energy_Access]]</f>
        <v>337</v>
      </c>
      <c r="U77" s="5" t="str">
        <f>IF(Table1[[#This Row],[Target_Gap]]&gt;=0,"Meeting/Exceeding Target",
IF(Table1[[#This Row],[Target_Gap]]&gt;=-10,"Moderately Below Target","Significantly Below Target"))</f>
        <v>Meeting/Exceeding Target</v>
      </c>
    </row>
    <row r="78" spans="1:21" x14ac:dyDescent="0.25">
      <c r="A78" t="s">
        <v>122</v>
      </c>
      <c r="B78" t="s">
        <v>20</v>
      </c>
      <c r="C78" t="s">
        <v>24</v>
      </c>
      <c r="D78" t="s">
        <v>22</v>
      </c>
      <c r="E78">
        <v>39</v>
      </c>
      <c r="F78">
        <v>74</v>
      </c>
      <c r="G78">
        <v>61</v>
      </c>
      <c r="H78">
        <v>1627</v>
      </c>
      <c r="I78">
        <v>30</v>
      </c>
      <c r="J78">
        <v>265</v>
      </c>
      <c r="K78">
        <v>1106</v>
      </c>
      <c r="L78" s="3">
        <v>0.95499999999999996</v>
      </c>
      <c r="M78">
        <v>3.7</v>
      </c>
      <c r="N78">
        <v>22</v>
      </c>
      <c r="O78">
        <f>Table1[[#This Row],[Current_Achievement_%]]-Table1[[#This Row],[Baseline_pct]]</f>
        <v>22</v>
      </c>
      <c r="P78">
        <f>Table1[[#This Row],[Current_Achievement_%]]-Table1[[#This Row],[Target_%]]</f>
        <v>-13</v>
      </c>
      <c r="Q78" s="5">
        <f>Table1[[#This Row],[Current_Achievement_%]]/Table1[[#This Row],[Target_%]]</f>
        <v>0.82432432432432434</v>
      </c>
      <c r="R78" s="5">
        <f>Table1[[#This Row],[People_Gaining_Clean_Energy_Access]]/Table1[[#This Row],[Beneficiaries]]</f>
        <v>0.67977873386601106</v>
      </c>
      <c r="S78" s="5">
        <f>Table1[[#This Row],[Local_Jobs_Created]]/Table1[[#This Row],[People_Trained]]</f>
        <v>0.11320754716981132</v>
      </c>
      <c r="T78" s="6">
        <f>Table1[[#This Row],[Beneficiaries]]-Table1[[#This Row],[People_Gaining_Clean_Energy_Access]]</f>
        <v>521</v>
      </c>
      <c r="U78" s="5" t="str">
        <f>IF(Table1[[#This Row],[Target_Gap]]&gt;=0,"Meeting/Exceeding Target",
IF(Table1[[#This Row],[Target_Gap]]&gt;=-10,"Moderately Below Target","Significantly Below Target"))</f>
        <v>Significantly Below Target</v>
      </c>
    </row>
    <row r="79" spans="1:21" x14ac:dyDescent="0.25">
      <c r="A79" t="s">
        <v>123</v>
      </c>
      <c r="B79" t="s">
        <v>57</v>
      </c>
      <c r="C79" t="s">
        <v>48</v>
      </c>
      <c r="D79" t="s">
        <v>22</v>
      </c>
      <c r="E79">
        <v>68</v>
      </c>
      <c r="F79">
        <v>90</v>
      </c>
      <c r="G79">
        <v>84</v>
      </c>
      <c r="H79">
        <v>501</v>
      </c>
      <c r="I79">
        <v>40</v>
      </c>
      <c r="J79">
        <v>205</v>
      </c>
      <c r="K79">
        <v>403</v>
      </c>
      <c r="L79" s="3">
        <v>0.79</v>
      </c>
      <c r="M79">
        <v>4.5999999999999996</v>
      </c>
      <c r="N79">
        <v>16</v>
      </c>
      <c r="O79">
        <f>Table1[[#This Row],[Current_Achievement_%]]-Table1[[#This Row],[Baseline_pct]]</f>
        <v>16</v>
      </c>
      <c r="P79">
        <f>Table1[[#This Row],[Current_Achievement_%]]-Table1[[#This Row],[Target_%]]</f>
        <v>-6</v>
      </c>
      <c r="Q79" s="5">
        <f>Table1[[#This Row],[Current_Achievement_%]]/Table1[[#This Row],[Target_%]]</f>
        <v>0.93333333333333335</v>
      </c>
      <c r="R79" s="5">
        <f>Table1[[#This Row],[People_Gaining_Clean_Energy_Access]]/Table1[[#This Row],[Beneficiaries]]</f>
        <v>0.80439121756487031</v>
      </c>
      <c r="S79" s="5">
        <f>Table1[[#This Row],[Local_Jobs_Created]]/Table1[[#This Row],[People_Trained]]</f>
        <v>0.1951219512195122</v>
      </c>
      <c r="T79" s="6">
        <f>Table1[[#This Row],[Beneficiaries]]-Table1[[#This Row],[People_Gaining_Clean_Energy_Access]]</f>
        <v>98</v>
      </c>
      <c r="U79" s="5" t="str">
        <f>IF(Table1[[#This Row],[Target_Gap]]&gt;=0,"Meeting/Exceeding Target",
IF(Table1[[#This Row],[Target_Gap]]&gt;=-10,"Moderately Below Target","Significantly Below Target"))</f>
        <v>Moderately Below Target</v>
      </c>
    </row>
    <row r="80" spans="1:21" x14ac:dyDescent="0.25">
      <c r="A80" t="s">
        <v>124</v>
      </c>
      <c r="B80" t="s">
        <v>32</v>
      </c>
      <c r="C80" t="s">
        <v>51</v>
      </c>
      <c r="D80" t="s">
        <v>17</v>
      </c>
      <c r="E80">
        <v>33</v>
      </c>
      <c r="F80">
        <v>86</v>
      </c>
      <c r="G80">
        <v>68</v>
      </c>
      <c r="H80">
        <v>1201</v>
      </c>
      <c r="I80">
        <v>25</v>
      </c>
      <c r="J80">
        <v>191</v>
      </c>
      <c r="K80">
        <v>1173</v>
      </c>
      <c r="L80" s="3">
        <v>0.88</v>
      </c>
      <c r="M80">
        <v>4</v>
      </c>
      <c r="N80">
        <v>35</v>
      </c>
      <c r="O80">
        <f>Table1[[#This Row],[Current_Achievement_%]]-Table1[[#This Row],[Baseline_pct]]</f>
        <v>35</v>
      </c>
      <c r="P80">
        <f>Table1[[#This Row],[Current_Achievement_%]]-Table1[[#This Row],[Target_%]]</f>
        <v>-18</v>
      </c>
      <c r="Q80" s="5">
        <f>Table1[[#This Row],[Current_Achievement_%]]/Table1[[#This Row],[Target_%]]</f>
        <v>0.79069767441860461</v>
      </c>
      <c r="R80" s="5">
        <f>Table1[[#This Row],[People_Gaining_Clean_Energy_Access]]/Table1[[#This Row],[Beneficiaries]]</f>
        <v>0.97668609492089931</v>
      </c>
      <c r="S80" s="5">
        <f>Table1[[#This Row],[Local_Jobs_Created]]/Table1[[#This Row],[People_Trained]]</f>
        <v>0.13089005235602094</v>
      </c>
      <c r="T80" s="6">
        <f>Table1[[#This Row],[Beneficiaries]]-Table1[[#This Row],[People_Gaining_Clean_Energy_Access]]</f>
        <v>28</v>
      </c>
      <c r="U80" s="5" t="str">
        <f>IF(Table1[[#This Row],[Target_Gap]]&gt;=0,"Meeting/Exceeding Target",
IF(Table1[[#This Row],[Target_Gap]]&gt;=-10,"Moderately Below Target","Significantly Below Target"))</f>
        <v>Significantly Below Target</v>
      </c>
    </row>
    <row r="81" spans="1:21" x14ac:dyDescent="0.25">
      <c r="A81" t="s">
        <v>125</v>
      </c>
      <c r="B81" t="s">
        <v>57</v>
      </c>
      <c r="C81" t="s">
        <v>39</v>
      </c>
      <c r="D81" t="s">
        <v>17</v>
      </c>
      <c r="E81">
        <v>43</v>
      </c>
      <c r="F81">
        <v>76</v>
      </c>
      <c r="G81">
        <v>58</v>
      </c>
      <c r="H81">
        <v>1734</v>
      </c>
      <c r="I81">
        <v>52</v>
      </c>
      <c r="J81">
        <v>284</v>
      </c>
      <c r="K81">
        <v>1139</v>
      </c>
      <c r="L81" s="3">
        <v>0.95599999999999996</v>
      </c>
      <c r="M81">
        <v>4.5999999999999996</v>
      </c>
      <c r="N81">
        <v>15</v>
      </c>
      <c r="O81">
        <f>Table1[[#This Row],[Current_Achievement_%]]-Table1[[#This Row],[Baseline_pct]]</f>
        <v>15</v>
      </c>
      <c r="P81">
        <f>Table1[[#This Row],[Current_Achievement_%]]-Table1[[#This Row],[Target_%]]</f>
        <v>-18</v>
      </c>
      <c r="Q81" s="5">
        <f>Table1[[#This Row],[Current_Achievement_%]]/Table1[[#This Row],[Target_%]]</f>
        <v>0.76315789473684215</v>
      </c>
      <c r="R81" s="5">
        <f>Table1[[#This Row],[People_Gaining_Clean_Energy_Access]]/Table1[[#This Row],[Beneficiaries]]</f>
        <v>0.65686274509803921</v>
      </c>
      <c r="S81" s="5">
        <f>Table1[[#This Row],[Local_Jobs_Created]]/Table1[[#This Row],[People_Trained]]</f>
        <v>0.18309859154929578</v>
      </c>
      <c r="T81" s="6">
        <f>Table1[[#This Row],[Beneficiaries]]-Table1[[#This Row],[People_Gaining_Clean_Energy_Access]]</f>
        <v>595</v>
      </c>
      <c r="U81" s="5" t="str">
        <f>IF(Table1[[#This Row],[Target_Gap]]&gt;=0,"Meeting/Exceeding Target",
IF(Table1[[#This Row],[Target_Gap]]&gt;=-10,"Moderately Below Target","Significantly Below Target"))</f>
        <v>Significantly Below Target</v>
      </c>
    </row>
    <row r="82" spans="1:21" x14ac:dyDescent="0.25">
      <c r="A82" t="s">
        <v>126</v>
      </c>
      <c r="B82" t="s">
        <v>57</v>
      </c>
      <c r="C82" t="s">
        <v>21</v>
      </c>
      <c r="D82" t="s">
        <v>22</v>
      </c>
      <c r="E82">
        <v>61</v>
      </c>
      <c r="F82">
        <v>79</v>
      </c>
      <c r="G82">
        <v>80</v>
      </c>
      <c r="H82">
        <v>969</v>
      </c>
      <c r="I82">
        <v>18</v>
      </c>
      <c r="J82">
        <v>142</v>
      </c>
      <c r="K82">
        <v>685</v>
      </c>
      <c r="L82" s="3">
        <v>0.82</v>
      </c>
      <c r="M82">
        <v>3.5</v>
      </c>
      <c r="N82">
        <v>19</v>
      </c>
      <c r="O82">
        <f>Table1[[#This Row],[Current_Achievement_%]]-Table1[[#This Row],[Baseline_pct]]</f>
        <v>19</v>
      </c>
      <c r="P82">
        <f>Table1[[#This Row],[Current_Achievement_%]]-Table1[[#This Row],[Target_%]]</f>
        <v>1</v>
      </c>
      <c r="Q82" s="5">
        <f>Table1[[#This Row],[Current_Achievement_%]]/Table1[[#This Row],[Target_%]]</f>
        <v>1.0126582278481013</v>
      </c>
      <c r="R82" s="5">
        <f>Table1[[#This Row],[People_Gaining_Clean_Energy_Access]]/Table1[[#This Row],[Beneficiaries]]</f>
        <v>0.7069143446852425</v>
      </c>
      <c r="S82" s="5">
        <f>Table1[[#This Row],[Local_Jobs_Created]]/Table1[[#This Row],[People_Trained]]</f>
        <v>0.12676056338028169</v>
      </c>
      <c r="T82" s="6">
        <f>Table1[[#This Row],[Beneficiaries]]-Table1[[#This Row],[People_Gaining_Clean_Energy_Access]]</f>
        <v>284</v>
      </c>
      <c r="U82" s="5" t="str">
        <f>IF(Table1[[#This Row],[Target_Gap]]&gt;=0,"Meeting/Exceeding Target",
IF(Table1[[#This Row],[Target_Gap]]&gt;=-10,"Moderately Below Target","Significantly Below Target"))</f>
        <v>Meeting/Exceeding Target</v>
      </c>
    </row>
  </sheetData>
  <mergeCells count="1">
    <mergeCell ref="A1:U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BD60-63C3-4029-A39A-79617103F424}">
  <dimension ref="X10:X25"/>
  <sheetViews>
    <sheetView workbookViewId="0">
      <selection activeCell="W13" sqref="W13"/>
    </sheetView>
  </sheetViews>
  <sheetFormatPr defaultRowHeight="15" x14ac:dyDescent="0.25"/>
  <cols>
    <col min="1" max="16384" width="9.140625" style="1"/>
  </cols>
  <sheetData>
    <row r="10" spans="24:24" x14ac:dyDescent="0.25">
      <c r="X10" s="2"/>
    </row>
    <row r="11" spans="24:24" x14ac:dyDescent="0.25">
      <c r="X11" s="2"/>
    </row>
    <row r="12" spans="24:24" x14ac:dyDescent="0.25">
      <c r="X12" s="2"/>
    </row>
    <row r="13" spans="24:24" x14ac:dyDescent="0.25">
      <c r="X13" s="2"/>
    </row>
    <row r="14" spans="24:24" x14ac:dyDescent="0.25">
      <c r="X14" s="2"/>
    </row>
    <row r="15" spans="24:24" x14ac:dyDescent="0.25">
      <c r="X15" s="2"/>
    </row>
    <row r="16" spans="24:24" x14ac:dyDescent="0.25">
      <c r="X16" s="2"/>
    </row>
    <row r="17" spans="24:24" x14ac:dyDescent="0.25">
      <c r="X17" s="2"/>
    </row>
    <row r="18" spans="24:24" x14ac:dyDescent="0.25">
      <c r="X18" s="2"/>
    </row>
    <row r="19" spans="24:24" x14ac:dyDescent="0.25">
      <c r="X19" s="2"/>
    </row>
    <row r="20" spans="24:24" x14ac:dyDescent="0.25">
      <c r="X20" s="2"/>
    </row>
    <row r="21" spans="24:24" x14ac:dyDescent="0.25">
      <c r="X21" s="2"/>
    </row>
    <row r="22" spans="24:24" x14ac:dyDescent="0.25">
      <c r="X22" s="2"/>
    </row>
    <row r="23" spans="24:24" x14ac:dyDescent="0.25">
      <c r="X23" s="2"/>
    </row>
    <row r="24" spans="24:24" x14ac:dyDescent="0.25">
      <c r="X24" s="2"/>
    </row>
    <row r="25" spans="24:24" x14ac:dyDescent="0.25">
      <c r="X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C11ED-AB96-4C0F-A889-1A8D9A410CC0}">
  <dimension ref="B1:Q9"/>
  <sheetViews>
    <sheetView workbookViewId="0">
      <selection activeCell="G14" sqref="G14"/>
    </sheetView>
  </sheetViews>
  <sheetFormatPr defaultRowHeight="15" x14ac:dyDescent="0.25"/>
  <cols>
    <col min="1" max="16384" width="9.140625" style="1"/>
  </cols>
  <sheetData>
    <row r="1" spans="2:17" x14ac:dyDescent="0.25">
      <c r="B1" s="23" t="s">
        <v>135</v>
      </c>
      <c r="C1" s="23"/>
      <c r="D1" s="23"/>
      <c r="E1" s="23"/>
      <c r="F1" s="23"/>
      <c r="G1" s="23"/>
      <c r="H1" s="23"/>
      <c r="I1" s="23"/>
      <c r="J1" s="23"/>
      <c r="K1" s="23"/>
      <c r="L1" s="23"/>
      <c r="M1" s="23"/>
      <c r="N1" s="23"/>
      <c r="O1" s="23"/>
      <c r="P1" s="23"/>
      <c r="Q1" s="23"/>
    </row>
    <row r="2" spans="2:17" x14ac:dyDescent="0.25">
      <c r="B2" s="22" t="s">
        <v>138</v>
      </c>
      <c r="C2" s="22"/>
      <c r="D2" s="22"/>
      <c r="E2" s="22" t="s">
        <v>137</v>
      </c>
      <c r="F2" s="22"/>
      <c r="G2" s="22"/>
      <c r="H2" s="22"/>
      <c r="I2" s="22"/>
      <c r="J2" s="22"/>
      <c r="K2" s="22"/>
      <c r="L2" s="22" t="s">
        <v>136</v>
      </c>
      <c r="M2" s="22"/>
      <c r="N2" s="22"/>
      <c r="O2" s="22"/>
      <c r="P2" s="22"/>
      <c r="Q2" s="22"/>
    </row>
    <row r="3" spans="2:17" x14ac:dyDescent="0.25">
      <c r="B3" s="22" t="s">
        <v>133</v>
      </c>
      <c r="C3" s="22"/>
      <c r="D3" s="22"/>
      <c r="E3" s="22" t="s">
        <v>139</v>
      </c>
      <c r="F3" s="22"/>
      <c r="G3" s="22"/>
      <c r="H3" s="22"/>
      <c r="I3" s="22"/>
      <c r="J3" s="22"/>
      <c r="K3" s="22"/>
      <c r="L3" s="22" t="s">
        <v>134</v>
      </c>
      <c r="M3" s="22"/>
      <c r="N3" s="22"/>
      <c r="O3" s="22"/>
      <c r="P3" s="22"/>
      <c r="Q3" s="22"/>
    </row>
    <row r="4" spans="2:17" x14ac:dyDescent="0.25">
      <c r="B4" s="22" t="s">
        <v>140</v>
      </c>
      <c r="C4" s="22"/>
      <c r="D4" s="22"/>
      <c r="E4" s="22" t="s">
        <v>141</v>
      </c>
      <c r="F4" s="22"/>
      <c r="G4" s="22"/>
      <c r="H4" s="22"/>
      <c r="I4" s="22"/>
      <c r="J4" s="22"/>
      <c r="K4" s="22"/>
      <c r="L4" s="22" t="s">
        <v>142</v>
      </c>
      <c r="M4" s="22"/>
      <c r="N4" s="22"/>
      <c r="O4" s="22"/>
      <c r="P4" s="22"/>
      <c r="Q4" s="22"/>
    </row>
    <row r="5" spans="2:17" x14ac:dyDescent="0.25">
      <c r="B5" s="22" t="s">
        <v>143</v>
      </c>
      <c r="C5" s="22"/>
      <c r="D5" s="22"/>
      <c r="E5" s="22" t="s">
        <v>147</v>
      </c>
      <c r="F5" s="22"/>
      <c r="G5" s="22"/>
      <c r="H5" s="22"/>
      <c r="I5" s="22"/>
      <c r="J5" s="22"/>
      <c r="K5" s="22"/>
      <c r="L5" s="22" t="s">
        <v>144</v>
      </c>
      <c r="M5" s="22"/>
      <c r="N5" s="22"/>
      <c r="O5" s="22"/>
      <c r="P5" s="22"/>
      <c r="Q5" s="22"/>
    </row>
    <row r="6" spans="2:17" x14ac:dyDescent="0.25">
      <c r="B6" s="22" t="s">
        <v>148</v>
      </c>
      <c r="C6" s="22"/>
      <c r="D6" s="22"/>
      <c r="E6" s="22" t="s">
        <v>150</v>
      </c>
      <c r="F6" s="22"/>
      <c r="G6" s="22"/>
      <c r="H6" s="22"/>
      <c r="I6" s="22"/>
      <c r="J6" s="22"/>
      <c r="K6" s="22"/>
      <c r="L6" s="22" t="s">
        <v>149</v>
      </c>
      <c r="M6" s="22"/>
      <c r="N6" s="22"/>
      <c r="O6" s="22"/>
      <c r="P6" s="22"/>
      <c r="Q6" s="22"/>
    </row>
    <row r="7" spans="2:17" x14ac:dyDescent="0.25">
      <c r="B7" s="22" t="s">
        <v>152</v>
      </c>
      <c r="C7" s="22"/>
      <c r="D7" s="22"/>
      <c r="E7" s="22" t="s">
        <v>153</v>
      </c>
      <c r="F7" s="22"/>
      <c r="G7" s="22"/>
      <c r="H7" s="22"/>
      <c r="I7" s="22"/>
      <c r="J7" s="22"/>
      <c r="K7" s="22"/>
      <c r="L7" s="22" t="s">
        <v>154</v>
      </c>
      <c r="M7" s="22"/>
      <c r="N7" s="22"/>
      <c r="O7" s="22"/>
      <c r="P7" s="22"/>
      <c r="Q7" s="22"/>
    </row>
    <row r="8" spans="2:17" x14ac:dyDescent="0.25">
      <c r="B8" s="22" t="s">
        <v>156</v>
      </c>
      <c r="C8" s="22"/>
      <c r="D8" s="22"/>
      <c r="E8" s="22" t="s">
        <v>157</v>
      </c>
      <c r="F8" s="22"/>
      <c r="G8" s="22"/>
      <c r="H8" s="22"/>
      <c r="I8" s="22"/>
      <c r="J8" s="22"/>
      <c r="K8" s="22"/>
      <c r="L8" s="22" t="s">
        <v>158</v>
      </c>
      <c r="M8" s="22"/>
      <c r="N8" s="22"/>
      <c r="O8" s="22"/>
      <c r="P8" s="22"/>
      <c r="Q8" s="22"/>
    </row>
    <row r="9" spans="2:17" x14ac:dyDescent="0.25">
      <c r="B9" s="22" t="s">
        <v>160</v>
      </c>
      <c r="C9" s="22"/>
      <c r="D9" s="22"/>
      <c r="E9" s="22" t="s">
        <v>162</v>
      </c>
      <c r="F9" s="22"/>
      <c r="G9" s="22"/>
      <c r="H9" s="22"/>
      <c r="I9" s="22"/>
      <c r="J9" s="22"/>
      <c r="K9" s="22"/>
      <c r="L9" s="22" t="s">
        <v>163</v>
      </c>
      <c r="M9" s="22"/>
      <c r="N9" s="22"/>
      <c r="O9" s="22"/>
      <c r="P9" s="22"/>
      <c r="Q9" s="22"/>
    </row>
  </sheetData>
  <mergeCells count="25">
    <mergeCell ref="B8:D8"/>
    <mergeCell ref="E8:K8"/>
    <mergeCell ref="L8:Q8"/>
    <mergeCell ref="B9:D9"/>
    <mergeCell ref="E9:K9"/>
    <mergeCell ref="L9:Q9"/>
    <mergeCell ref="B6:D6"/>
    <mergeCell ref="E6:K6"/>
    <mergeCell ref="L6:Q6"/>
    <mergeCell ref="B7:D7"/>
    <mergeCell ref="E7:K7"/>
    <mergeCell ref="L7:Q7"/>
    <mergeCell ref="B4:D4"/>
    <mergeCell ref="E4:K4"/>
    <mergeCell ref="L4:Q4"/>
    <mergeCell ref="B5:D5"/>
    <mergeCell ref="E5:K5"/>
    <mergeCell ref="L5:Q5"/>
    <mergeCell ref="E2:K2"/>
    <mergeCell ref="E3:K3"/>
    <mergeCell ref="B1:Q1"/>
    <mergeCell ref="B2:D2"/>
    <mergeCell ref="B3:D3"/>
    <mergeCell ref="L2:Q2"/>
    <mergeCell ref="L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265D-7059-42B6-8D3C-992F2EF3B5CA}">
  <dimension ref="A1:U172"/>
  <sheetViews>
    <sheetView topLeftCell="K1" workbookViewId="0">
      <selection activeCell="O8" sqref="O8"/>
    </sheetView>
  </sheetViews>
  <sheetFormatPr defaultRowHeight="15" x14ac:dyDescent="0.25"/>
  <cols>
    <col min="1" max="1" width="13.42578125" bestFit="1" customWidth="1"/>
    <col min="2" max="2" width="26" bestFit="1" customWidth="1"/>
    <col min="8" max="8" width="13.42578125" bestFit="1" customWidth="1"/>
    <col min="9" max="9" width="19.85546875" bestFit="1" customWidth="1"/>
    <col min="10" max="10" width="43.140625" bestFit="1" customWidth="1"/>
    <col min="14" max="14" width="28" bestFit="1" customWidth="1"/>
    <col min="15" max="15" width="27.5703125" bestFit="1" customWidth="1"/>
    <col min="16" max="16" width="36.5703125" bestFit="1" customWidth="1"/>
    <col min="17" max="17" width="28" bestFit="1" customWidth="1"/>
    <col min="18" max="18" width="13.42578125" bestFit="1" customWidth="1"/>
    <col min="19" max="19" width="35" bestFit="1" customWidth="1"/>
    <col min="20" max="20" width="36.5703125" bestFit="1" customWidth="1"/>
    <col min="21" max="21" width="28" bestFit="1" customWidth="1"/>
    <col min="22" max="22" width="33.85546875" bestFit="1" customWidth="1"/>
  </cols>
  <sheetData>
    <row r="1" spans="1:18" x14ac:dyDescent="0.25">
      <c r="A1" t="s">
        <v>164</v>
      </c>
      <c r="H1" t="s">
        <v>168</v>
      </c>
      <c r="Q1" s="23" t="s">
        <v>182</v>
      </c>
      <c r="R1" s="23"/>
    </row>
    <row r="2" spans="1:18" x14ac:dyDescent="0.25">
      <c r="Q2" s="15" t="s">
        <v>143</v>
      </c>
      <c r="R2" s="13">
        <f>GETPIVOTDATA("Average of Target_Achievement_Rate",$N$16)</f>
        <v>0.95086923563410031</v>
      </c>
    </row>
    <row r="3" spans="1:18" x14ac:dyDescent="0.25">
      <c r="A3" s="7" t="s">
        <v>165</v>
      </c>
      <c r="B3" t="s">
        <v>167</v>
      </c>
      <c r="H3" s="7" t="s">
        <v>165</v>
      </c>
      <c r="I3" t="s">
        <v>169</v>
      </c>
      <c r="J3" t="s">
        <v>170</v>
      </c>
      <c r="N3" t="s">
        <v>176</v>
      </c>
      <c r="Q3" s="15" t="s">
        <v>140</v>
      </c>
      <c r="R3" s="12">
        <f>GETPIVOTDATA("Target_Gap",$A$3)</f>
        <v>-35</v>
      </c>
    </row>
    <row r="4" spans="1:18" x14ac:dyDescent="0.25">
      <c r="A4" s="8" t="s">
        <v>51</v>
      </c>
      <c r="B4" s="9">
        <v>-19</v>
      </c>
      <c r="H4" s="8" t="s">
        <v>16</v>
      </c>
      <c r="I4" s="18">
        <v>16578</v>
      </c>
      <c r="J4" s="18">
        <v>13850</v>
      </c>
      <c r="N4" s="7" t="s">
        <v>165</v>
      </c>
      <c r="O4" t="s">
        <v>175</v>
      </c>
      <c r="Q4" s="15" t="s">
        <v>183</v>
      </c>
      <c r="R4" s="20">
        <f>GETPIVOTDATA("Sum of People_Gaining_Clean_Energy_Access",$H$3)</f>
        <v>56667</v>
      </c>
    </row>
    <row r="5" spans="1:18" x14ac:dyDescent="0.25">
      <c r="A5" s="8" t="s">
        <v>24</v>
      </c>
      <c r="B5" s="9">
        <v>-18</v>
      </c>
      <c r="H5" s="8" t="s">
        <v>48</v>
      </c>
      <c r="I5" s="18">
        <v>14682</v>
      </c>
      <c r="J5" s="18">
        <v>11789</v>
      </c>
      <c r="N5" s="8" t="s">
        <v>25</v>
      </c>
      <c r="O5" s="9">
        <v>17</v>
      </c>
      <c r="Q5" s="15" t="s">
        <v>184</v>
      </c>
      <c r="R5" s="13">
        <f>GETPIVOTDATA("Average of System_Uptime_%",$N$16)</f>
        <v>0.88352500000000023</v>
      </c>
    </row>
    <row r="6" spans="1:18" x14ac:dyDescent="0.25">
      <c r="A6" s="8" t="s">
        <v>48</v>
      </c>
      <c r="B6" s="9">
        <v>-14</v>
      </c>
      <c r="H6" s="8" t="s">
        <v>63</v>
      </c>
      <c r="I6" s="18">
        <v>12143</v>
      </c>
      <c r="J6" s="18">
        <v>10898</v>
      </c>
      <c r="N6" s="8" t="s">
        <v>22</v>
      </c>
      <c r="O6" s="9">
        <v>15</v>
      </c>
      <c r="Q6" s="15" t="s">
        <v>185</v>
      </c>
      <c r="R6" s="14">
        <f>GETPIVOTDATA("Average of Community_Satisfaction",$N$16)</f>
        <v>4.0337499999999995</v>
      </c>
    </row>
    <row r="7" spans="1:18" x14ac:dyDescent="0.25">
      <c r="A7" s="8" t="s">
        <v>29</v>
      </c>
      <c r="B7" s="9">
        <v>-10</v>
      </c>
      <c r="H7" s="8" t="s">
        <v>33</v>
      </c>
      <c r="I7" s="18">
        <v>9056</v>
      </c>
      <c r="J7" s="18">
        <v>7968</v>
      </c>
      <c r="N7" s="8" t="s">
        <v>17</v>
      </c>
      <c r="O7" s="9">
        <v>15</v>
      </c>
      <c r="Q7" s="15" t="s">
        <v>152</v>
      </c>
      <c r="R7" s="13">
        <f>GETPIVOTDATA("Training-to-Employment_Rate",$N$28)</f>
        <v>0.3450106624019898</v>
      </c>
    </row>
    <row r="8" spans="1:18" x14ac:dyDescent="0.25">
      <c r="A8" s="8" t="s">
        <v>21</v>
      </c>
      <c r="B8" s="9">
        <v>2</v>
      </c>
      <c r="H8" s="8" t="s">
        <v>51</v>
      </c>
      <c r="I8" s="18">
        <v>7789</v>
      </c>
      <c r="J8" s="18">
        <v>6203</v>
      </c>
      <c r="N8" s="8" t="s">
        <v>68</v>
      </c>
      <c r="O8" s="9">
        <v>12</v>
      </c>
    </row>
    <row r="9" spans="1:18" x14ac:dyDescent="0.25">
      <c r="A9" s="8" t="s">
        <v>80</v>
      </c>
      <c r="B9" s="9">
        <v>4</v>
      </c>
      <c r="H9" s="8" t="s">
        <v>24</v>
      </c>
      <c r="I9" s="18">
        <v>7549</v>
      </c>
      <c r="J9" s="18">
        <v>5959</v>
      </c>
      <c r="N9" s="8" t="s">
        <v>44</v>
      </c>
      <c r="O9" s="9">
        <v>12</v>
      </c>
      <c r="Q9" t="s">
        <v>187</v>
      </c>
      <c r="R9" s="17">
        <f ca="1">TODAY()</f>
        <v>46290</v>
      </c>
    </row>
    <row r="10" spans="1:18" x14ac:dyDescent="0.25">
      <c r="A10" s="8" t="s">
        <v>55</v>
      </c>
      <c r="B10" s="9">
        <v>7</v>
      </c>
      <c r="H10" s="8" t="s">
        <v>166</v>
      </c>
      <c r="I10" s="18">
        <v>67797</v>
      </c>
      <c r="J10" s="18">
        <v>56667</v>
      </c>
      <c r="N10" s="8" t="s">
        <v>30</v>
      </c>
      <c r="O10" s="9">
        <v>9</v>
      </c>
      <c r="R10" t="str">
        <f ca="1">TEXT(R9,"dd mmm yyyy")</f>
        <v>25 Sep 2026</v>
      </c>
    </row>
    <row r="11" spans="1:18" x14ac:dyDescent="0.25">
      <c r="A11" s="8" t="s">
        <v>36</v>
      </c>
      <c r="B11" s="9">
        <v>13</v>
      </c>
      <c r="N11" s="8" t="s">
        <v>166</v>
      </c>
      <c r="O11" s="9">
        <v>80</v>
      </c>
    </row>
    <row r="12" spans="1:18" x14ac:dyDescent="0.25">
      <c r="A12" s="8" t="s">
        <v>166</v>
      </c>
      <c r="B12" s="9">
        <v>-35</v>
      </c>
    </row>
    <row r="13" spans="1:18" x14ac:dyDescent="0.25">
      <c r="O13" cm="1">
        <f t="array" aca="1" ref="O13" ca="1">N2:R16</f>
        <v>0</v>
      </c>
    </row>
    <row r="15" spans="1:18" x14ac:dyDescent="0.25">
      <c r="N15" t="s">
        <v>177</v>
      </c>
    </row>
    <row r="16" spans="1:18" x14ac:dyDescent="0.25">
      <c r="N16" s="7" t="s">
        <v>165</v>
      </c>
      <c r="O16" t="s">
        <v>178</v>
      </c>
      <c r="P16" t="s">
        <v>179</v>
      </c>
      <c r="Q16" t="s">
        <v>180</v>
      </c>
      <c r="R16" t="s">
        <v>181</v>
      </c>
    </row>
    <row r="17" spans="1:21" x14ac:dyDescent="0.25">
      <c r="N17" s="8" t="s">
        <v>25</v>
      </c>
      <c r="O17" s="3">
        <v>0.90201619813233247</v>
      </c>
      <c r="P17" s="3">
        <v>0.82008408629428087</v>
      </c>
      <c r="Q17" s="3">
        <v>0.88294117647058823</v>
      </c>
      <c r="R17" s="11">
        <v>4.1705882352941179</v>
      </c>
    </row>
    <row r="18" spans="1:21" x14ac:dyDescent="0.25">
      <c r="N18" s="8" t="s">
        <v>44</v>
      </c>
      <c r="O18" s="3">
        <v>0.9417982982714298</v>
      </c>
      <c r="P18" s="3">
        <v>0.78184178173488528</v>
      </c>
      <c r="Q18" s="3">
        <v>0.88916666666666666</v>
      </c>
      <c r="R18" s="11">
        <v>3.8416666666666663</v>
      </c>
    </row>
    <row r="19" spans="1:21" x14ac:dyDescent="0.25">
      <c r="N19" s="8" t="s">
        <v>30</v>
      </c>
      <c r="O19" s="3">
        <v>1.0066413110717396</v>
      </c>
      <c r="P19" s="3">
        <v>0.86391401409608648</v>
      </c>
      <c r="Q19" s="3">
        <v>0.88622222222222224</v>
      </c>
      <c r="R19" s="11">
        <v>4.2222222222222223</v>
      </c>
    </row>
    <row r="20" spans="1:21" x14ac:dyDescent="0.25">
      <c r="N20" s="8" t="s">
        <v>22</v>
      </c>
      <c r="O20" s="3">
        <v>0.97639316263384646</v>
      </c>
      <c r="P20" s="3">
        <v>0.80614017644740754</v>
      </c>
      <c r="Q20" s="3">
        <v>0.87513333333333354</v>
      </c>
      <c r="R20" s="11">
        <v>3.98</v>
      </c>
    </row>
    <row r="21" spans="1:21" x14ac:dyDescent="0.25">
      <c r="N21" s="8" t="s">
        <v>68</v>
      </c>
      <c r="O21" s="3">
        <v>0.95156522580596181</v>
      </c>
      <c r="P21" s="3">
        <v>0.81810569015868928</v>
      </c>
      <c r="Q21" s="3">
        <v>0.89491666666666669</v>
      </c>
      <c r="R21" s="11">
        <v>4.0583333333333345</v>
      </c>
    </row>
    <row r="22" spans="1:21" x14ac:dyDescent="0.25">
      <c r="N22" s="8" t="s">
        <v>17</v>
      </c>
      <c r="O22" s="3">
        <v>0.95394879695975521</v>
      </c>
      <c r="P22" s="3">
        <v>0.8304192689412222</v>
      </c>
      <c r="Q22" s="3">
        <v>0.87733333333333319</v>
      </c>
      <c r="R22" s="11">
        <v>3.9533333333333336</v>
      </c>
    </row>
    <row r="23" spans="1:21" x14ac:dyDescent="0.25">
      <c r="A23" t="s">
        <v>173</v>
      </c>
      <c r="H23" t="s">
        <v>171</v>
      </c>
      <c r="N23" s="8" t="s">
        <v>166</v>
      </c>
      <c r="O23" s="3">
        <v>0.95086923563410031</v>
      </c>
      <c r="P23" s="3">
        <v>0.81830521171774895</v>
      </c>
      <c r="Q23" s="3">
        <v>0.88352500000000023</v>
      </c>
      <c r="R23" s="11">
        <v>4.0337499999999995</v>
      </c>
    </row>
    <row r="24" spans="1:21" x14ac:dyDescent="0.25">
      <c r="A24" s="7" t="s">
        <v>165</v>
      </c>
      <c r="B24" t="s">
        <v>174</v>
      </c>
      <c r="H24" s="7" t="s">
        <v>165</v>
      </c>
      <c r="I24" t="s">
        <v>172</v>
      </c>
    </row>
    <row r="25" spans="1:21" x14ac:dyDescent="0.25">
      <c r="A25" s="8">
        <v>30</v>
      </c>
      <c r="B25" s="9">
        <v>78</v>
      </c>
      <c r="H25" s="10">
        <v>0.78200000000000003</v>
      </c>
      <c r="I25" s="9">
        <v>4.4000000000000004</v>
      </c>
    </row>
    <row r="26" spans="1:21" x14ac:dyDescent="0.25">
      <c r="A26" s="8">
        <v>31</v>
      </c>
      <c r="B26" s="9">
        <v>69</v>
      </c>
      <c r="H26" s="10">
        <v>0.78500000000000003</v>
      </c>
      <c r="I26" s="9">
        <v>3.7</v>
      </c>
    </row>
    <row r="27" spans="1:21" x14ac:dyDescent="0.25">
      <c r="A27" s="8">
        <v>36</v>
      </c>
      <c r="B27" s="9">
        <v>86</v>
      </c>
      <c r="H27" s="10">
        <v>0.78900000000000003</v>
      </c>
      <c r="I27" s="9">
        <v>4</v>
      </c>
    </row>
    <row r="28" spans="1:21" x14ac:dyDescent="0.25">
      <c r="A28" s="8">
        <v>37</v>
      </c>
      <c r="B28" s="9">
        <v>51</v>
      </c>
      <c r="H28" s="10">
        <v>0.79</v>
      </c>
      <c r="I28" s="9">
        <v>4.5999999999999996</v>
      </c>
      <c r="N28" s="7" t="s">
        <v>165</v>
      </c>
      <c r="O28" t="s">
        <v>186</v>
      </c>
      <c r="R28" s="7" t="s">
        <v>165</v>
      </c>
      <c r="S28" t="s">
        <v>178</v>
      </c>
      <c r="T28" t="s">
        <v>179</v>
      </c>
      <c r="U28" t="s">
        <v>180</v>
      </c>
    </row>
    <row r="29" spans="1:21" x14ac:dyDescent="0.25">
      <c r="A29" s="8">
        <v>57</v>
      </c>
      <c r="B29" s="9">
        <v>66</v>
      </c>
      <c r="H29" s="10">
        <v>0.79200000000000004</v>
      </c>
      <c r="I29" s="9">
        <v>3.2</v>
      </c>
      <c r="N29" s="8" t="s">
        <v>25</v>
      </c>
      <c r="O29" s="3">
        <v>0.28535384098430677</v>
      </c>
      <c r="R29" s="8" t="s">
        <v>16</v>
      </c>
      <c r="S29" s="3">
        <v>0.97008090353331156</v>
      </c>
      <c r="T29" s="3">
        <v>0.83445933484675161</v>
      </c>
      <c r="U29" s="3">
        <v>0.86481818181818182</v>
      </c>
    </row>
    <row r="30" spans="1:21" x14ac:dyDescent="0.25">
      <c r="A30" s="8">
        <v>61</v>
      </c>
      <c r="B30" s="9">
        <v>29</v>
      </c>
      <c r="H30" s="10">
        <v>0.79300000000000004</v>
      </c>
      <c r="I30" s="9">
        <v>4.0999999999999996</v>
      </c>
      <c r="N30" s="8" t="s">
        <v>44</v>
      </c>
      <c r="O30" s="3">
        <v>0.50920697775462964</v>
      </c>
      <c r="R30" s="8" t="s">
        <v>36</v>
      </c>
      <c r="S30" s="3">
        <v>1.0356720385942377</v>
      </c>
      <c r="T30" s="3">
        <v>0.84101310293792886</v>
      </c>
      <c r="U30" s="3">
        <v>0.85599999999999987</v>
      </c>
    </row>
    <row r="31" spans="1:21" x14ac:dyDescent="0.25">
      <c r="A31" s="8">
        <v>64</v>
      </c>
      <c r="B31" s="9">
        <v>33</v>
      </c>
      <c r="H31" s="10">
        <v>0.79700000000000004</v>
      </c>
      <c r="I31" s="9">
        <v>4.9000000000000004</v>
      </c>
      <c r="N31" s="8" t="s">
        <v>30</v>
      </c>
      <c r="O31" s="3">
        <v>0.37629935232522871</v>
      </c>
      <c r="R31" s="8" t="s">
        <v>21</v>
      </c>
      <c r="S31" s="3">
        <v>1.0057101665874113</v>
      </c>
      <c r="T31" s="3">
        <v>0.75998625961466726</v>
      </c>
      <c r="U31" s="3">
        <v>0.89433333333333331</v>
      </c>
    </row>
    <row r="32" spans="1:21" x14ac:dyDescent="0.25">
      <c r="A32" s="8">
        <v>66</v>
      </c>
      <c r="B32" s="9">
        <v>68</v>
      </c>
      <c r="H32" s="10">
        <v>0.79800000000000004</v>
      </c>
      <c r="I32" s="9">
        <v>3.9</v>
      </c>
      <c r="N32" s="8" t="s">
        <v>22</v>
      </c>
      <c r="O32" s="3">
        <v>0.34039541380245819</v>
      </c>
      <c r="R32" s="8" t="s">
        <v>29</v>
      </c>
      <c r="S32" s="3">
        <v>0.95740461089298312</v>
      </c>
      <c r="T32" s="3">
        <v>0.80768380508447846</v>
      </c>
      <c r="U32" s="3">
        <v>0.91999999999999993</v>
      </c>
    </row>
    <row r="33" spans="1:21" x14ac:dyDescent="0.25">
      <c r="A33" s="8">
        <v>70</v>
      </c>
      <c r="B33" s="9">
        <v>15</v>
      </c>
      <c r="H33" s="10">
        <v>0.8</v>
      </c>
      <c r="I33" s="9">
        <v>4.2</v>
      </c>
      <c r="N33" s="8" t="s">
        <v>68</v>
      </c>
      <c r="O33" s="3">
        <v>0.40287019538258012</v>
      </c>
      <c r="R33" s="8" t="s">
        <v>48</v>
      </c>
      <c r="S33" s="3">
        <v>0.98932960924353164</v>
      </c>
      <c r="T33" s="3">
        <v>0.80758074224081644</v>
      </c>
      <c r="U33" s="3">
        <v>0.87009090909090925</v>
      </c>
    </row>
    <row r="34" spans="1:21" x14ac:dyDescent="0.25">
      <c r="A34" s="8">
        <v>71</v>
      </c>
      <c r="B34" s="9">
        <v>109</v>
      </c>
      <c r="H34" s="10">
        <v>0.80100000000000005</v>
      </c>
      <c r="I34" s="9">
        <v>3.7</v>
      </c>
      <c r="N34" s="8" t="s">
        <v>17</v>
      </c>
      <c r="O34" s="3">
        <v>0.2208190826543685</v>
      </c>
      <c r="R34" s="8" t="s">
        <v>55</v>
      </c>
      <c r="S34" s="3">
        <v>1.0203818251763457</v>
      </c>
      <c r="T34" s="3">
        <v>0.79131769896690252</v>
      </c>
      <c r="U34" s="3">
        <v>0.84824999999999995</v>
      </c>
    </row>
    <row r="35" spans="1:21" x14ac:dyDescent="0.25">
      <c r="A35" s="8">
        <v>73</v>
      </c>
      <c r="B35" s="9">
        <v>57</v>
      </c>
      <c r="H35" s="10">
        <v>0.80300000000000005</v>
      </c>
      <c r="I35" s="9">
        <v>3.4</v>
      </c>
      <c r="N35" s="8" t="s">
        <v>166</v>
      </c>
      <c r="O35" s="3">
        <v>0.3450106624019898</v>
      </c>
      <c r="R35" s="8" t="s">
        <v>80</v>
      </c>
      <c r="S35" s="3">
        <v>1.0211508921186341</v>
      </c>
      <c r="T35" s="3">
        <v>0.87297007268463322</v>
      </c>
      <c r="U35" s="3">
        <v>0.84</v>
      </c>
    </row>
    <row r="36" spans="1:21" x14ac:dyDescent="0.25">
      <c r="A36" s="8">
        <v>79</v>
      </c>
      <c r="B36" s="9">
        <v>38</v>
      </c>
      <c r="H36" s="10">
        <v>0.80800000000000005</v>
      </c>
      <c r="I36" s="9">
        <v>3.4</v>
      </c>
      <c r="R36" s="8" t="s">
        <v>166</v>
      </c>
      <c r="S36" s="3">
        <v>0.99346280130513598</v>
      </c>
      <c r="T36" s="3">
        <v>0.81748019225608215</v>
      </c>
      <c r="U36" s="3">
        <v>0.86871794871794883</v>
      </c>
    </row>
    <row r="37" spans="1:21" x14ac:dyDescent="0.25">
      <c r="A37" s="8">
        <v>93</v>
      </c>
      <c r="B37" s="9">
        <v>28</v>
      </c>
      <c r="H37" s="10">
        <v>0.81200000000000006</v>
      </c>
      <c r="I37" s="9">
        <v>4.8</v>
      </c>
    </row>
    <row r="38" spans="1:21" x14ac:dyDescent="0.25">
      <c r="A38" s="8">
        <v>96</v>
      </c>
      <c r="B38" s="9">
        <v>9</v>
      </c>
      <c r="H38" s="10">
        <v>0.81899999999999995</v>
      </c>
      <c r="I38" s="9">
        <v>3.4</v>
      </c>
    </row>
    <row r="39" spans="1:21" x14ac:dyDescent="0.25">
      <c r="A39" s="8">
        <v>105</v>
      </c>
      <c r="B39" s="9">
        <v>27</v>
      </c>
      <c r="H39" s="10">
        <v>0.82</v>
      </c>
      <c r="I39" s="9">
        <v>3.5</v>
      </c>
    </row>
    <row r="40" spans="1:21" x14ac:dyDescent="0.25">
      <c r="A40" s="8">
        <v>106</v>
      </c>
      <c r="B40" s="9">
        <v>73</v>
      </c>
      <c r="H40" s="10">
        <v>0.82399999999999995</v>
      </c>
      <c r="I40" s="9">
        <v>3.8</v>
      </c>
    </row>
    <row r="41" spans="1:21" x14ac:dyDescent="0.25">
      <c r="A41" s="8">
        <v>110</v>
      </c>
      <c r="B41" s="9">
        <v>50</v>
      </c>
      <c r="H41" s="10">
        <v>0.83</v>
      </c>
      <c r="I41" s="9">
        <v>3.8</v>
      </c>
    </row>
    <row r="42" spans="1:21" x14ac:dyDescent="0.25">
      <c r="A42" s="8">
        <v>112</v>
      </c>
      <c r="B42" s="9">
        <v>7</v>
      </c>
      <c r="H42" s="10">
        <v>0.83099999999999996</v>
      </c>
      <c r="I42" s="9">
        <v>4.8</v>
      </c>
    </row>
    <row r="43" spans="1:21" x14ac:dyDescent="0.25">
      <c r="A43" s="8">
        <v>114</v>
      </c>
      <c r="B43" s="9">
        <v>64</v>
      </c>
      <c r="H43" s="10">
        <v>0.83199999999999996</v>
      </c>
      <c r="I43" s="9">
        <v>3.4</v>
      </c>
    </row>
    <row r="44" spans="1:21" x14ac:dyDescent="0.25">
      <c r="A44" s="8">
        <v>119</v>
      </c>
      <c r="B44" s="9">
        <v>38</v>
      </c>
      <c r="H44" s="10">
        <v>0.83399999999999996</v>
      </c>
      <c r="I44" s="9">
        <v>9.3999999999999986</v>
      </c>
    </row>
    <row r="45" spans="1:21" x14ac:dyDescent="0.25">
      <c r="A45" s="8">
        <v>121</v>
      </c>
      <c r="B45" s="9">
        <v>22</v>
      </c>
      <c r="H45" s="10">
        <v>0.83899999999999997</v>
      </c>
      <c r="I45" s="9">
        <v>4.4000000000000004</v>
      </c>
    </row>
    <row r="46" spans="1:21" x14ac:dyDescent="0.25">
      <c r="A46" s="8">
        <v>123</v>
      </c>
      <c r="B46" s="9">
        <v>30</v>
      </c>
      <c r="H46" s="10">
        <v>0.84399999999999997</v>
      </c>
      <c r="I46" s="9">
        <v>13.7</v>
      </c>
    </row>
    <row r="47" spans="1:21" x14ac:dyDescent="0.25">
      <c r="A47" s="8">
        <v>125</v>
      </c>
      <c r="B47" s="9">
        <v>92</v>
      </c>
      <c r="H47" s="10">
        <v>0.84599999999999997</v>
      </c>
      <c r="I47" s="9">
        <v>3.5</v>
      </c>
    </row>
    <row r="48" spans="1:21" x14ac:dyDescent="0.25">
      <c r="A48" s="8">
        <v>126</v>
      </c>
      <c r="B48" s="9">
        <v>34</v>
      </c>
      <c r="H48" s="10">
        <v>0.84699999999999998</v>
      </c>
      <c r="I48" s="9">
        <v>4.4000000000000004</v>
      </c>
    </row>
    <row r="49" spans="1:9" x14ac:dyDescent="0.25">
      <c r="A49" s="8">
        <v>129</v>
      </c>
      <c r="B49" s="9">
        <v>27</v>
      </c>
      <c r="H49" s="10">
        <v>0.84799999999999998</v>
      </c>
      <c r="I49" s="9">
        <v>7.8000000000000007</v>
      </c>
    </row>
    <row r="50" spans="1:9" x14ac:dyDescent="0.25">
      <c r="A50" s="8">
        <v>131</v>
      </c>
      <c r="B50" s="9">
        <v>59</v>
      </c>
      <c r="H50" s="10">
        <v>0.84899999999999998</v>
      </c>
      <c r="I50" s="9">
        <v>4</v>
      </c>
    </row>
    <row r="51" spans="1:9" x14ac:dyDescent="0.25">
      <c r="A51" s="8">
        <v>142</v>
      </c>
      <c r="B51" s="9">
        <v>18</v>
      </c>
      <c r="H51" s="10">
        <v>0.85399999999999998</v>
      </c>
      <c r="I51" s="9">
        <v>3.4</v>
      </c>
    </row>
    <row r="52" spans="1:9" x14ac:dyDescent="0.25">
      <c r="A52" s="8">
        <v>143</v>
      </c>
      <c r="B52" s="9">
        <v>54</v>
      </c>
      <c r="H52" s="10">
        <v>0.85799999999999998</v>
      </c>
      <c r="I52" s="9">
        <v>9</v>
      </c>
    </row>
    <row r="53" spans="1:9" x14ac:dyDescent="0.25">
      <c r="A53" s="8">
        <v>151</v>
      </c>
      <c r="B53" s="9">
        <v>20</v>
      </c>
      <c r="H53" s="10">
        <v>0.86399999999999999</v>
      </c>
      <c r="I53" s="9">
        <v>3.2</v>
      </c>
    </row>
    <row r="54" spans="1:9" x14ac:dyDescent="0.25">
      <c r="A54" s="8">
        <v>159</v>
      </c>
      <c r="B54" s="9">
        <v>53</v>
      </c>
      <c r="H54" s="10">
        <v>0.86599999999999999</v>
      </c>
      <c r="I54" s="9">
        <v>8.5</v>
      </c>
    </row>
    <row r="55" spans="1:9" x14ac:dyDescent="0.25">
      <c r="A55" s="8">
        <v>160</v>
      </c>
      <c r="B55" s="9">
        <v>39</v>
      </c>
      <c r="H55" s="10">
        <v>0.86799999999999999</v>
      </c>
      <c r="I55" s="9">
        <v>3.6</v>
      </c>
    </row>
    <row r="56" spans="1:9" x14ac:dyDescent="0.25">
      <c r="A56" s="8">
        <v>166</v>
      </c>
      <c r="B56" s="9">
        <v>9</v>
      </c>
      <c r="H56" s="10">
        <v>0.871</v>
      </c>
      <c r="I56" s="9">
        <v>4.9000000000000004</v>
      </c>
    </row>
    <row r="57" spans="1:9" x14ac:dyDescent="0.25">
      <c r="A57" s="8">
        <v>170</v>
      </c>
      <c r="B57" s="9">
        <v>33</v>
      </c>
      <c r="H57" s="10">
        <v>0.88</v>
      </c>
      <c r="I57" s="9">
        <v>7.2</v>
      </c>
    </row>
    <row r="58" spans="1:9" x14ac:dyDescent="0.25">
      <c r="A58" s="8">
        <v>183</v>
      </c>
      <c r="B58" s="9">
        <v>46</v>
      </c>
      <c r="H58" s="10">
        <v>0.88500000000000001</v>
      </c>
      <c r="I58" s="9">
        <v>8.1999999999999993</v>
      </c>
    </row>
    <row r="59" spans="1:9" x14ac:dyDescent="0.25">
      <c r="A59" s="8">
        <v>190</v>
      </c>
      <c r="B59" s="9">
        <v>16</v>
      </c>
      <c r="H59" s="10">
        <v>0.88600000000000001</v>
      </c>
      <c r="I59" s="9">
        <v>8.1999999999999993</v>
      </c>
    </row>
    <row r="60" spans="1:9" x14ac:dyDescent="0.25">
      <c r="A60" s="8">
        <v>191</v>
      </c>
      <c r="B60" s="9">
        <v>25</v>
      </c>
      <c r="H60" s="10">
        <v>0.89200000000000002</v>
      </c>
      <c r="I60" s="9">
        <v>4.2</v>
      </c>
    </row>
    <row r="61" spans="1:9" x14ac:dyDescent="0.25">
      <c r="A61" s="8">
        <v>200</v>
      </c>
      <c r="B61" s="9">
        <v>50</v>
      </c>
      <c r="H61" s="10">
        <v>0.89300000000000002</v>
      </c>
      <c r="I61" s="9">
        <v>3.6</v>
      </c>
    </row>
    <row r="62" spans="1:9" x14ac:dyDescent="0.25">
      <c r="A62" s="8">
        <v>203</v>
      </c>
      <c r="B62" s="9">
        <v>12</v>
      </c>
      <c r="H62" s="10">
        <v>0.89400000000000002</v>
      </c>
      <c r="I62" s="9">
        <v>3.4</v>
      </c>
    </row>
    <row r="63" spans="1:9" x14ac:dyDescent="0.25">
      <c r="A63" s="8">
        <v>204</v>
      </c>
      <c r="B63" s="9">
        <v>65</v>
      </c>
      <c r="H63" s="10">
        <v>0.89600000000000002</v>
      </c>
      <c r="I63" s="9">
        <v>8.6000000000000014</v>
      </c>
    </row>
    <row r="64" spans="1:9" x14ac:dyDescent="0.25">
      <c r="A64" s="8">
        <v>205</v>
      </c>
      <c r="B64" s="9">
        <v>40</v>
      </c>
      <c r="H64" s="10">
        <v>0.90200000000000002</v>
      </c>
      <c r="I64" s="9">
        <v>4.7</v>
      </c>
    </row>
    <row r="65" spans="1:9" x14ac:dyDescent="0.25">
      <c r="A65" s="8">
        <v>208</v>
      </c>
      <c r="B65" s="9">
        <v>31</v>
      </c>
      <c r="H65" s="10">
        <v>0.90900000000000003</v>
      </c>
      <c r="I65" s="9">
        <v>8</v>
      </c>
    </row>
    <row r="66" spans="1:9" x14ac:dyDescent="0.25">
      <c r="A66" s="8">
        <v>214</v>
      </c>
      <c r="B66" s="9">
        <v>8</v>
      </c>
      <c r="H66" s="10">
        <v>0.91</v>
      </c>
      <c r="I66" s="9">
        <v>4.4000000000000004</v>
      </c>
    </row>
    <row r="67" spans="1:9" x14ac:dyDescent="0.25">
      <c r="A67" s="8">
        <v>216</v>
      </c>
      <c r="B67" s="9">
        <v>21</v>
      </c>
      <c r="H67" s="10">
        <v>0.91100000000000003</v>
      </c>
      <c r="I67" s="9">
        <v>3.7</v>
      </c>
    </row>
    <row r="68" spans="1:9" x14ac:dyDescent="0.25">
      <c r="A68" s="8">
        <v>219</v>
      </c>
      <c r="B68" s="9">
        <v>57</v>
      </c>
      <c r="H68" s="10">
        <v>0.91300000000000003</v>
      </c>
      <c r="I68" s="9">
        <v>3.9</v>
      </c>
    </row>
    <row r="69" spans="1:9" x14ac:dyDescent="0.25">
      <c r="A69" s="8">
        <v>228</v>
      </c>
      <c r="B69" s="9">
        <v>24</v>
      </c>
      <c r="H69" s="10">
        <v>0.91400000000000003</v>
      </c>
      <c r="I69" s="9">
        <v>4.5</v>
      </c>
    </row>
    <row r="70" spans="1:9" x14ac:dyDescent="0.25">
      <c r="A70" s="8">
        <v>229</v>
      </c>
      <c r="B70" s="9">
        <v>31</v>
      </c>
      <c r="H70" s="10">
        <v>0.91600000000000004</v>
      </c>
      <c r="I70" s="9">
        <v>3.4</v>
      </c>
    </row>
    <row r="71" spans="1:9" x14ac:dyDescent="0.25">
      <c r="A71" s="8">
        <v>234</v>
      </c>
      <c r="B71" s="9">
        <v>14</v>
      </c>
      <c r="H71" s="10">
        <v>0.91900000000000004</v>
      </c>
      <c r="I71" s="9">
        <v>3.3</v>
      </c>
    </row>
    <row r="72" spans="1:9" x14ac:dyDescent="0.25">
      <c r="A72" s="8">
        <v>236</v>
      </c>
      <c r="B72" s="9">
        <v>64</v>
      </c>
      <c r="H72" s="10">
        <v>0.94199999999999995</v>
      </c>
      <c r="I72" s="9">
        <v>3.3</v>
      </c>
    </row>
    <row r="73" spans="1:9" x14ac:dyDescent="0.25">
      <c r="A73" s="8">
        <v>240</v>
      </c>
      <c r="B73" s="9">
        <v>35</v>
      </c>
      <c r="H73" s="10">
        <v>0.94499999999999995</v>
      </c>
      <c r="I73" s="9">
        <v>3.6</v>
      </c>
    </row>
    <row r="74" spans="1:9" x14ac:dyDescent="0.25">
      <c r="A74" s="8">
        <v>241</v>
      </c>
      <c r="B74" s="9">
        <v>71</v>
      </c>
      <c r="H74" s="10">
        <v>0.94599999999999995</v>
      </c>
      <c r="I74" s="9">
        <v>4.3</v>
      </c>
    </row>
    <row r="75" spans="1:9" x14ac:dyDescent="0.25">
      <c r="A75" s="8">
        <v>256</v>
      </c>
      <c r="B75" s="9">
        <v>46</v>
      </c>
      <c r="H75" s="10">
        <v>0.94699999999999995</v>
      </c>
      <c r="I75" s="9">
        <v>4.7</v>
      </c>
    </row>
    <row r="76" spans="1:9" x14ac:dyDescent="0.25">
      <c r="A76" s="8">
        <v>263</v>
      </c>
      <c r="B76" s="9">
        <v>39</v>
      </c>
      <c r="H76" s="10">
        <v>0.94799999999999995</v>
      </c>
      <c r="I76" s="9">
        <v>4.3</v>
      </c>
    </row>
    <row r="77" spans="1:9" x14ac:dyDescent="0.25">
      <c r="A77" s="8">
        <v>265</v>
      </c>
      <c r="B77" s="9">
        <v>37</v>
      </c>
      <c r="H77" s="10">
        <v>0.95299999999999996</v>
      </c>
      <c r="I77" s="9">
        <v>3.6</v>
      </c>
    </row>
    <row r="78" spans="1:9" x14ac:dyDescent="0.25">
      <c r="A78" s="8">
        <v>273</v>
      </c>
      <c r="B78" s="9">
        <v>34</v>
      </c>
      <c r="H78" s="10">
        <v>0.95499999999999996</v>
      </c>
      <c r="I78" s="9">
        <v>3.7</v>
      </c>
    </row>
    <row r="79" spans="1:9" x14ac:dyDescent="0.25">
      <c r="A79" s="8">
        <v>281</v>
      </c>
      <c r="B79" s="9">
        <v>48</v>
      </c>
      <c r="H79" s="10">
        <v>0.95599999999999996</v>
      </c>
      <c r="I79" s="9">
        <v>4.5999999999999996</v>
      </c>
    </row>
    <row r="80" spans="1:9" x14ac:dyDescent="0.25">
      <c r="A80" s="8">
        <v>284</v>
      </c>
      <c r="B80" s="9">
        <v>52</v>
      </c>
      <c r="H80" s="10">
        <v>0.95699999999999996</v>
      </c>
      <c r="I80" s="9">
        <v>4.2</v>
      </c>
    </row>
    <row r="81" spans="1:9" x14ac:dyDescent="0.25">
      <c r="A81" s="8">
        <v>291</v>
      </c>
      <c r="B81" s="9">
        <v>57</v>
      </c>
      <c r="H81" s="10">
        <v>0.96</v>
      </c>
      <c r="I81" s="9">
        <v>12.5</v>
      </c>
    </row>
    <row r="82" spans="1:9" x14ac:dyDescent="0.25">
      <c r="A82" s="8">
        <v>292</v>
      </c>
      <c r="B82" s="9">
        <v>78</v>
      </c>
      <c r="H82" s="10">
        <v>0.96199999999999997</v>
      </c>
      <c r="I82" s="9">
        <v>3.6</v>
      </c>
    </row>
    <row r="83" spans="1:9" x14ac:dyDescent="0.25">
      <c r="A83" s="8">
        <v>298</v>
      </c>
      <c r="B83" s="9">
        <v>76</v>
      </c>
      <c r="H83" s="10">
        <v>0.96799999999999997</v>
      </c>
      <c r="I83" s="9">
        <v>4</v>
      </c>
    </row>
    <row r="84" spans="1:9" x14ac:dyDescent="0.25">
      <c r="A84" s="8">
        <v>302</v>
      </c>
      <c r="B84" s="9">
        <v>70</v>
      </c>
      <c r="H84" s="10">
        <v>0.97099999999999997</v>
      </c>
      <c r="I84" s="9">
        <v>3.9</v>
      </c>
    </row>
    <row r="85" spans="1:9" x14ac:dyDescent="0.25">
      <c r="A85" s="8">
        <v>305</v>
      </c>
      <c r="B85" s="9">
        <v>38</v>
      </c>
      <c r="H85" s="10">
        <v>0.97299999999999998</v>
      </c>
      <c r="I85" s="9">
        <v>4.5</v>
      </c>
    </row>
    <row r="86" spans="1:9" x14ac:dyDescent="0.25">
      <c r="A86" s="8">
        <v>310</v>
      </c>
      <c r="B86" s="9">
        <v>73</v>
      </c>
      <c r="H86" s="10">
        <v>0.98099999999999998</v>
      </c>
      <c r="I86" s="9">
        <v>4.4000000000000004</v>
      </c>
    </row>
    <row r="87" spans="1:9" x14ac:dyDescent="0.25">
      <c r="A87" s="8">
        <v>313</v>
      </c>
      <c r="B87" s="9">
        <v>65</v>
      </c>
      <c r="H87" s="10">
        <v>0.98199999999999998</v>
      </c>
      <c r="I87" s="9">
        <v>3.3</v>
      </c>
    </row>
    <row r="88" spans="1:9" x14ac:dyDescent="0.25">
      <c r="A88" s="8">
        <v>317</v>
      </c>
      <c r="B88" s="9">
        <v>13</v>
      </c>
      <c r="H88" s="10">
        <v>0.98399999999999999</v>
      </c>
      <c r="I88" s="9">
        <v>7.1</v>
      </c>
    </row>
    <row r="89" spans="1:9" x14ac:dyDescent="0.25">
      <c r="A89" s="8">
        <v>318</v>
      </c>
      <c r="B89" s="9">
        <v>29</v>
      </c>
      <c r="H89" s="10">
        <v>0.99</v>
      </c>
      <c r="I89" s="9">
        <v>4.8</v>
      </c>
    </row>
    <row r="90" spans="1:9" x14ac:dyDescent="0.25">
      <c r="A90" s="8">
        <v>326</v>
      </c>
      <c r="B90" s="9">
        <v>63</v>
      </c>
      <c r="H90" s="10">
        <v>0.99399999999999999</v>
      </c>
      <c r="I90" s="9">
        <v>4.2</v>
      </c>
    </row>
    <row r="91" spans="1:9" x14ac:dyDescent="0.25">
      <c r="A91" s="8">
        <v>330</v>
      </c>
      <c r="B91" s="9">
        <v>56</v>
      </c>
      <c r="H91" s="10" t="s">
        <v>166</v>
      </c>
      <c r="I91" s="9">
        <v>322.7</v>
      </c>
    </row>
    <row r="92" spans="1:9" x14ac:dyDescent="0.25">
      <c r="A92" s="8">
        <v>332</v>
      </c>
      <c r="B92" s="9">
        <v>55</v>
      </c>
    </row>
    <row r="93" spans="1:9" x14ac:dyDescent="0.25">
      <c r="A93" s="8">
        <v>343</v>
      </c>
      <c r="B93" s="9">
        <v>61</v>
      </c>
      <c r="H93" t="str" cm="1">
        <f t="array" ref="H93:I159">H24:I90</f>
        <v>Row Labels</v>
      </c>
      <c r="I93" t="str">
        <v>Sum of Community_Satisfaction</v>
      </c>
    </row>
    <row r="94" spans="1:9" x14ac:dyDescent="0.25">
      <c r="A94" s="8">
        <v>344</v>
      </c>
      <c r="B94" s="9">
        <v>48</v>
      </c>
      <c r="H94" s="19">
        <v>0.78200000000000003</v>
      </c>
      <c r="I94">
        <v>4.4000000000000004</v>
      </c>
    </row>
    <row r="95" spans="1:9" x14ac:dyDescent="0.25">
      <c r="A95" s="8">
        <v>348</v>
      </c>
      <c r="B95" s="9">
        <v>39</v>
      </c>
      <c r="H95" s="19">
        <v>0.78500000000000003</v>
      </c>
      <c r="I95">
        <v>3.7</v>
      </c>
    </row>
    <row r="96" spans="1:9" x14ac:dyDescent="0.25">
      <c r="A96" s="8">
        <v>349</v>
      </c>
      <c r="B96" s="9">
        <v>44</v>
      </c>
      <c r="H96" s="19">
        <v>0.78900000000000003</v>
      </c>
      <c r="I96">
        <v>4</v>
      </c>
    </row>
    <row r="97" spans="1:9" x14ac:dyDescent="0.25">
      <c r="A97" s="8" t="s">
        <v>166</v>
      </c>
      <c r="B97" s="9">
        <v>3216</v>
      </c>
      <c r="H97" s="19">
        <v>0.79</v>
      </c>
      <c r="I97">
        <v>4.5999999999999996</v>
      </c>
    </row>
    <row r="98" spans="1:9" x14ac:dyDescent="0.25">
      <c r="H98" s="19">
        <v>0.79200000000000004</v>
      </c>
      <c r="I98">
        <v>3.2</v>
      </c>
    </row>
    <row r="99" spans="1:9" x14ac:dyDescent="0.25">
      <c r="H99" s="19">
        <v>0.79300000000000004</v>
      </c>
      <c r="I99">
        <v>4.0999999999999996</v>
      </c>
    </row>
    <row r="100" spans="1:9" x14ac:dyDescent="0.25">
      <c r="H100" s="19">
        <v>0.79700000000000004</v>
      </c>
      <c r="I100">
        <v>4.9000000000000004</v>
      </c>
    </row>
    <row r="101" spans="1:9" x14ac:dyDescent="0.25">
      <c r="A101" cm="1">
        <f t="array" ref="A101:B172">A25:B96</f>
        <v>30</v>
      </c>
      <c r="B101">
        <v>78</v>
      </c>
      <c r="H101" s="19">
        <v>0.79800000000000004</v>
      </c>
      <c r="I101">
        <v>3.9</v>
      </c>
    </row>
    <row r="102" spans="1:9" x14ac:dyDescent="0.25">
      <c r="A102">
        <v>31</v>
      </c>
      <c r="B102">
        <v>69</v>
      </c>
      <c r="H102" s="19">
        <v>0.8</v>
      </c>
      <c r="I102">
        <v>4.2</v>
      </c>
    </row>
    <row r="103" spans="1:9" x14ac:dyDescent="0.25">
      <c r="A103">
        <v>36</v>
      </c>
      <c r="B103">
        <v>86</v>
      </c>
      <c r="H103" s="19">
        <v>0.80100000000000005</v>
      </c>
      <c r="I103">
        <v>3.7</v>
      </c>
    </row>
    <row r="104" spans="1:9" x14ac:dyDescent="0.25">
      <c r="A104">
        <v>37</v>
      </c>
      <c r="B104">
        <v>51</v>
      </c>
      <c r="H104" s="19">
        <v>0.80300000000000005</v>
      </c>
      <c r="I104">
        <v>3.4</v>
      </c>
    </row>
    <row r="105" spans="1:9" x14ac:dyDescent="0.25">
      <c r="A105">
        <v>57</v>
      </c>
      <c r="B105">
        <v>66</v>
      </c>
      <c r="H105" s="19">
        <v>0.80800000000000005</v>
      </c>
      <c r="I105">
        <v>3.4</v>
      </c>
    </row>
    <row r="106" spans="1:9" x14ac:dyDescent="0.25">
      <c r="A106">
        <v>61</v>
      </c>
      <c r="B106">
        <v>29</v>
      </c>
      <c r="H106" s="19">
        <v>0.81200000000000006</v>
      </c>
      <c r="I106">
        <v>4.8</v>
      </c>
    </row>
    <row r="107" spans="1:9" x14ac:dyDescent="0.25">
      <c r="A107">
        <v>64</v>
      </c>
      <c r="B107">
        <v>33</v>
      </c>
      <c r="H107" s="19">
        <v>0.81899999999999995</v>
      </c>
      <c r="I107">
        <v>3.4</v>
      </c>
    </row>
    <row r="108" spans="1:9" x14ac:dyDescent="0.25">
      <c r="A108">
        <v>66</v>
      </c>
      <c r="B108">
        <v>68</v>
      </c>
      <c r="H108" s="19">
        <v>0.82</v>
      </c>
      <c r="I108">
        <v>3.5</v>
      </c>
    </row>
    <row r="109" spans="1:9" x14ac:dyDescent="0.25">
      <c r="A109">
        <v>70</v>
      </c>
      <c r="B109">
        <v>15</v>
      </c>
      <c r="H109" s="19">
        <v>0.82399999999999995</v>
      </c>
      <c r="I109">
        <v>3.8</v>
      </c>
    </row>
    <row r="110" spans="1:9" x14ac:dyDescent="0.25">
      <c r="A110">
        <v>71</v>
      </c>
      <c r="B110">
        <v>109</v>
      </c>
      <c r="H110" s="19">
        <v>0.83</v>
      </c>
      <c r="I110">
        <v>3.8</v>
      </c>
    </row>
    <row r="111" spans="1:9" x14ac:dyDescent="0.25">
      <c r="A111">
        <v>73</v>
      </c>
      <c r="B111">
        <v>57</v>
      </c>
      <c r="H111" s="19">
        <v>0.83099999999999996</v>
      </c>
      <c r="I111">
        <v>4.8</v>
      </c>
    </row>
    <row r="112" spans="1:9" x14ac:dyDescent="0.25">
      <c r="A112">
        <v>79</v>
      </c>
      <c r="B112">
        <v>38</v>
      </c>
      <c r="H112" s="19">
        <v>0.83199999999999996</v>
      </c>
      <c r="I112">
        <v>3.4</v>
      </c>
    </row>
    <row r="113" spans="1:9" x14ac:dyDescent="0.25">
      <c r="A113">
        <v>93</v>
      </c>
      <c r="B113">
        <v>28</v>
      </c>
      <c r="H113" s="19">
        <v>0.83399999999999996</v>
      </c>
      <c r="I113">
        <v>9.3999999999999986</v>
      </c>
    </row>
    <row r="114" spans="1:9" x14ac:dyDescent="0.25">
      <c r="A114">
        <v>96</v>
      </c>
      <c r="B114">
        <v>9</v>
      </c>
      <c r="H114" s="19">
        <v>0.83899999999999997</v>
      </c>
      <c r="I114">
        <v>4.4000000000000004</v>
      </c>
    </row>
    <row r="115" spans="1:9" x14ac:dyDescent="0.25">
      <c r="A115">
        <v>105</v>
      </c>
      <c r="B115">
        <v>27</v>
      </c>
      <c r="H115" s="19">
        <v>0.84399999999999997</v>
      </c>
      <c r="I115">
        <v>13.7</v>
      </c>
    </row>
    <row r="116" spans="1:9" x14ac:dyDescent="0.25">
      <c r="A116">
        <v>106</v>
      </c>
      <c r="B116">
        <v>73</v>
      </c>
      <c r="H116" s="19">
        <v>0.84599999999999997</v>
      </c>
      <c r="I116">
        <v>3.5</v>
      </c>
    </row>
    <row r="117" spans="1:9" x14ac:dyDescent="0.25">
      <c r="A117">
        <v>110</v>
      </c>
      <c r="B117">
        <v>50</v>
      </c>
      <c r="H117" s="19">
        <v>0.84699999999999998</v>
      </c>
      <c r="I117">
        <v>4.4000000000000004</v>
      </c>
    </row>
    <row r="118" spans="1:9" x14ac:dyDescent="0.25">
      <c r="A118">
        <v>112</v>
      </c>
      <c r="B118">
        <v>7</v>
      </c>
      <c r="H118" s="19">
        <v>0.84799999999999998</v>
      </c>
      <c r="I118">
        <v>7.8000000000000007</v>
      </c>
    </row>
    <row r="119" spans="1:9" x14ac:dyDescent="0.25">
      <c r="A119">
        <v>114</v>
      </c>
      <c r="B119">
        <v>64</v>
      </c>
      <c r="H119" s="19">
        <v>0.84899999999999998</v>
      </c>
      <c r="I119">
        <v>4</v>
      </c>
    </row>
    <row r="120" spans="1:9" x14ac:dyDescent="0.25">
      <c r="A120">
        <v>119</v>
      </c>
      <c r="B120">
        <v>38</v>
      </c>
      <c r="H120" s="19">
        <v>0.85399999999999998</v>
      </c>
      <c r="I120">
        <v>3.4</v>
      </c>
    </row>
    <row r="121" spans="1:9" x14ac:dyDescent="0.25">
      <c r="A121">
        <v>121</v>
      </c>
      <c r="B121">
        <v>22</v>
      </c>
      <c r="H121" s="19">
        <v>0.85799999999999998</v>
      </c>
      <c r="I121">
        <v>9</v>
      </c>
    </row>
    <row r="122" spans="1:9" x14ac:dyDescent="0.25">
      <c r="A122">
        <v>123</v>
      </c>
      <c r="B122">
        <v>30</v>
      </c>
      <c r="H122" s="19">
        <v>0.86399999999999999</v>
      </c>
      <c r="I122">
        <v>3.2</v>
      </c>
    </row>
    <row r="123" spans="1:9" x14ac:dyDescent="0.25">
      <c r="A123">
        <v>125</v>
      </c>
      <c r="B123">
        <v>92</v>
      </c>
      <c r="H123" s="19">
        <v>0.86599999999999999</v>
      </c>
      <c r="I123">
        <v>8.5</v>
      </c>
    </row>
    <row r="124" spans="1:9" x14ac:dyDescent="0.25">
      <c r="A124">
        <v>126</v>
      </c>
      <c r="B124">
        <v>34</v>
      </c>
      <c r="H124" s="19">
        <v>0.86799999999999999</v>
      </c>
      <c r="I124">
        <v>3.6</v>
      </c>
    </row>
    <row r="125" spans="1:9" x14ac:dyDescent="0.25">
      <c r="A125">
        <v>129</v>
      </c>
      <c r="B125">
        <v>27</v>
      </c>
      <c r="H125" s="19">
        <v>0.871</v>
      </c>
      <c r="I125">
        <v>4.9000000000000004</v>
      </c>
    </row>
    <row r="126" spans="1:9" x14ac:dyDescent="0.25">
      <c r="A126">
        <v>131</v>
      </c>
      <c r="B126">
        <v>59</v>
      </c>
      <c r="H126" s="19">
        <v>0.88</v>
      </c>
      <c r="I126">
        <v>7.2</v>
      </c>
    </row>
    <row r="127" spans="1:9" x14ac:dyDescent="0.25">
      <c r="A127">
        <v>142</v>
      </c>
      <c r="B127">
        <v>18</v>
      </c>
      <c r="H127" s="19">
        <v>0.88500000000000001</v>
      </c>
      <c r="I127">
        <v>8.1999999999999993</v>
      </c>
    </row>
    <row r="128" spans="1:9" x14ac:dyDescent="0.25">
      <c r="A128">
        <v>143</v>
      </c>
      <c r="B128">
        <v>54</v>
      </c>
      <c r="H128" s="19">
        <v>0.88600000000000001</v>
      </c>
      <c r="I128">
        <v>8.1999999999999993</v>
      </c>
    </row>
    <row r="129" spans="1:9" x14ac:dyDescent="0.25">
      <c r="A129">
        <v>151</v>
      </c>
      <c r="B129">
        <v>20</v>
      </c>
      <c r="H129" s="19">
        <v>0.89200000000000002</v>
      </c>
      <c r="I129">
        <v>4.2</v>
      </c>
    </row>
    <row r="130" spans="1:9" x14ac:dyDescent="0.25">
      <c r="A130">
        <v>159</v>
      </c>
      <c r="B130">
        <v>53</v>
      </c>
      <c r="H130" s="19">
        <v>0.89300000000000002</v>
      </c>
      <c r="I130">
        <v>3.6</v>
      </c>
    </row>
    <row r="131" spans="1:9" x14ac:dyDescent="0.25">
      <c r="A131">
        <v>160</v>
      </c>
      <c r="B131">
        <v>39</v>
      </c>
      <c r="H131" s="19">
        <v>0.89400000000000002</v>
      </c>
      <c r="I131">
        <v>3.4</v>
      </c>
    </row>
    <row r="132" spans="1:9" x14ac:dyDescent="0.25">
      <c r="A132">
        <v>166</v>
      </c>
      <c r="B132">
        <v>9</v>
      </c>
      <c r="H132" s="19">
        <v>0.89600000000000002</v>
      </c>
      <c r="I132">
        <v>8.6000000000000014</v>
      </c>
    </row>
    <row r="133" spans="1:9" x14ac:dyDescent="0.25">
      <c r="A133">
        <v>170</v>
      </c>
      <c r="B133">
        <v>33</v>
      </c>
      <c r="H133" s="19">
        <v>0.90200000000000002</v>
      </c>
      <c r="I133">
        <v>4.7</v>
      </c>
    </row>
    <row r="134" spans="1:9" x14ac:dyDescent="0.25">
      <c r="A134">
        <v>183</v>
      </c>
      <c r="B134">
        <v>46</v>
      </c>
      <c r="H134" s="19">
        <v>0.90900000000000003</v>
      </c>
      <c r="I134">
        <v>8</v>
      </c>
    </row>
    <row r="135" spans="1:9" x14ac:dyDescent="0.25">
      <c r="A135">
        <v>190</v>
      </c>
      <c r="B135">
        <v>16</v>
      </c>
      <c r="H135" s="19">
        <v>0.91</v>
      </c>
      <c r="I135">
        <v>4.4000000000000004</v>
      </c>
    </row>
    <row r="136" spans="1:9" x14ac:dyDescent="0.25">
      <c r="A136">
        <v>191</v>
      </c>
      <c r="B136">
        <v>25</v>
      </c>
      <c r="H136" s="19">
        <v>0.91100000000000003</v>
      </c>
      <c r="I136">
        <v>3.7</v>
      </c>
    </row>
    <row r="137" spans="1:9" x14ac:dyDescent="0.25">
      <c r="A137">
        <v>200</v>
      </c>
      <c r="B137">
        <v>50</v>
      </c>
      <c r="H137" s="19">
        <v>0.91300000000000003</v>
      </c>
      <c r="I137">
        <v>3.9</v>
      </c>
    </row>
    <row r="138" spans="1:9" x14ac:dyDescent="0.25">
      <c r="A138">
        <v>203</v>
      </c>
      <c r="B138">
        <v>12</v>
      </c>
      <c r="H138" s="19">
        <v>0.91400000000000003</v>
      </c>
      <c r="I138">
        <v>4.5</v>
      </c>
    </row>
    <row r="139" spans="1:9" x14ac:dyDescent="0.25">
      <c r="A139">
        <v>204</v>
      </c>
      <c r="B139">
        <v>65</v>
      </c>
      <c r="H139" s="19">
        <v>0.91600000000000004</v>
      </c>
      <c r="I139">
        <v>3.4</v>
      </c>
    </row>
    <row r="140" spans="1:9" x14ac:dyDescent="0.25">
      <c r="A140">
        <v>205</v>
      </c>
      <c r="B140">
        <v>40</v>
      </c>
      <c r="H140" s="19">
        <v>0.91900000000000004</v>
      </c>
      <c r="I140">
        <v>3.3</v>
      </c>
    </row>
    <row r="141" spans="1:9" x14ac:dyDescent="0.25">
      <c r="A141">
        <v>208</v>
      </c>
      <c r="B141">
        <v>31</v>
      </c>
      <c r="H141" s="19">
        <v>0.94199999999999995</v>
      </c>
      <c r="I141">
        <v>3.3</v>
      </c>
    </row>
    <row r="142" spans="1:9" x14ac:dyDescent="0.25">
      <c r="A142">
        <v>214</v>
      </c>
      <c r="B142">
        <v>8</v>
      </c>
      <c r="H142" s="19">
        <v>0.94499999999999995</v>
      </c>
      <c r="I142">
        <v>3.6</v>
      </c>
    </row>
    <row r="143" spans="1:9" x14ac:dyDescent="0.25">
      <c r="A143">
        <v>216</v>
      </c>
      <c r="B143">
        <v>21</v>
      </c>
      <c r="H143" s="19">
        <v>0.94599999999999995</v>
      </c>
      <c r="I143">
        <v>4.3</v>
      </c>
    </row>
    <row r="144" spans="1:9" x14ac:dyDescent="0.25">
      <c r="A144">
        <v>219</v>
      </c>
      <c r="B144">
        <v>57</v>
      </c>
      <c r="H144" s="19">
        <v>0.94699999999999995</v>
      </c>
      <c r="I144">
        <v>4.7</v>
      </c>
    </row>
    <row r="145" spans="1:9" x14ac:dyDescent="0.25">
      <c r="A145">
        <v>228</v>
      </c>
      <c r="B145">
        <v>24</v>
      </c>
      <c r="H145" s="19">
        <v>0.94799999999999995</v>
      </c>
      <c r="I145">
        <v>4.3</v>
      </c>
    </row>
    <row r="146" spans="1:9" x14ac:dyDescent="0.25">
      <c r="A146">
        <v>229</v>
      </c>
      <c r="B146">
        <v>31</v>
      </c>
      <c r="H146" s="19">
        <v>0.95299999999999996</v>
      </c>
      <c r="I146">
        <v>3.6</v>
      </c>
    </row>
    <row r="147" spans="1:9" x14ac:dyDescent="0.25">
      <c r="A147">
        <v>234</v>
      </c>
      <c r="B147">
        <v>14</v>
      </c>
      <c r="H147" s="19">
        <v>0.95499999999999996</v>
      </c>
      <c r="I147">
        <v>3.7</v>
      </c>
    </row>
    <row r="148" spans="1:9" x14ac:dyDescent="0.25">
      <c r="A148">
        <v>236</v>
      </c>
      <c r="B148">
        <v>64</v>
      </c>
      <c r="H148" s="19">
        <v>0.95599999999999996</v>
      </c>
      <c r="I148">
        <v>4.5999999999999996</v>
      </c>
    </row>
    <row r="149" spans="1:9" x14ac:dyDescent="0.25">
      <c r="A149">
        <v>240</v>
      </c>
      <c r="B149">
        <v>35</v>
      </c>
      <c r="H149" s="19">
        <v>0.95699999999999996</v>
      </c>
      <c r="I149">
        <v>4.2</v>
      </c>
    </row>
    <row r="150" spans="1:9" x14ac:dyDescent="0.25">
      <c r="A150">
        <v>241</v>
      </c>
      <c r="B150">
        <v>71</v>
      </c>
      <c r="H150" s="19">
        <v>0.96</v>
      </c>
      <c r="I150">
        <v>12.5</v>
      </c>
    </row>
    <row r="151" spans="1:9" x14ac:dyDescent="0.25">
      <c r="A151">
        <v>256</v>
      </c>
      <c r="B151">
        <v>46</v>
      </c>
      <c r="H151" s="19">
        <v>0.96199999999999997</v>
      </c>
      <c r="I151">
        <v>3.6</v>
      </c>
    </row>
    <row r="152" spans="1:9" x14ac:dyDescent="0.25">
      <c r="A152">
        <v>263</v>
      </c>
      <c r="B152">
        <v>39</v>
      </c>
      <c r="H152" s="19">
        <v>0.96799999999999997</v>
      </c>
      <c r="I152">
        <v>4</v>
      </c>
    </row>
    <row r="153" spans="1:9" x14ac:dyDescent="0.25">
      <c r="A153">
        <v>265</v>
      </c>
      <c r="B153">
        <v>37</v>
      </c>
      <c r="H153" s="19">
        <v>0.97099999999999997</v>
      </c>
      <c r="I153">
        <v>3.9</v>
      </c>
    </row>
    <row r="154" spans="1:9" x14ac:dyDescent="0.25">
      <c r="A154">
        <v>273</v>
      </c>
      <c r="B154">
        <v>34</v>
      </c>
      <c r="H154" s="19">
        <v>0.97299999999999998</v>
      </c>
      <c r="I154">
        <v>4.5</v>
      </c>
    </row>
    <row r="155" spans="1:9" x14ac:dyDescent="0.25">
      <c r="A155">
        <v>281</v>
      </c>
      <c r="B155">
        <v>48</v>
      </c>
      <c r="H155" s="19">
        <v>0.98099999999999998</v>
      </c>
      <c r="I155">
        <v>4.4000000000000004</v>
      </c>
    </row>
    <row r="156" spans="1:9" x14ac:dyDescent="0.25">
      <c r="A156">
        <v>284</v>
      </c>
      <c r="B156">
        <v>52</v>
      </c>
      <c r="H156" s="19">
        <v>0.98199999999999998</v>
      </c>
      <c r="I156">
        <v>3.3</v>
      </c>
    </row>
    <row r="157" spans="1:9" x14ac:dyDescent="0.25">
      <c r="A157">
        <v>291</v>
      </c>
      <c r="B157">
        <v>57</v>
      </c>
      <c r="H157" s="19">
        <v>0.98399999999999999</v>
      </c>
      <c r="I157">
        <v>7.1</v>
      </c>
    </row>
    <row r="158" spans="1:9" x14ac:dyDescent="0.25">
      <c r="A158">
        <v>292</v>
      </c>
      <c r="B158">
        <v>78</v>
      </c>
      <c r="H158" s="19">
        <v>0.99</v>
      </c>
      <c r="I158">
        <v>4.8</v>
      </c>
    </row>
    <row r="159" spans="1:9" x14ac:dyDescent="0.25">
      <c r="A159">
        <v>298</v>
      </c>
      <c r="B159">
        <v>76</v>
      </c>
      <c r="H159" s="19">
        <v>0.99399999999999999</v>
      </c>
      <c r="I159">
        <v>4.2</v>
      </c>
    </row>
    <row r="160" spans="1:9" x14ac:dyDescent="0.25">
      <c r="A160">
        <v>302</v>
      </c>
      <c r="B160">
        <v>70</v>
      </c>
    </row>
    <row r="161" spans="1:2" x14ac:dyDescent="0.25">
      <c r="A161">
        <v>305</v>
      </c>
      <c r="B161">
        <v>38</v>
      </c>
    </row>
    <row r="162" spans="1:2" x14ac:dyDescent="0.25">
      <c r="A162">
        <v>310</v>
      </c>
      <c r="B162">
        <v>73</v>
      </c>
    </row>
    <row r="163" spans="1:2" x14ac:dyDescent="0.25">
      <c r="A163">
        <v>313</v>
      </c>
      <c r="B163">
        <v>65</v>
      </c>
    </row>
    <row r="164" spans="1:2" x14ac:dyDescent="0.25">
      <c r="A164">
        <v>317</v>
      </c>
      <c r="B164">
        <v>13</v>
      </c>
    </row>
    <row r="165" spans="1:2" x14ac:dyDescent="0.25">
      <c r="A165">
        <v>318</v>
      </c>
      <c r="B165">
        <v>29</v>
      </c>
    </row>
    <row r="166" spans="1:2" x14ac:dyDescent="0.25">
      <c r="A166">
        <v>326</v>
      </c>
      <c r="B166">
        <v>63</v>
      </c>
    </row>
    <row r="167" spans="1:2" x14ac:dyDescent="0.25">
      <c r="A167">
        <v>330</v>
      </c>
      <c r="B167">
        <v>56</v>
      </c>
    </row>
    <row r="168" spans="1:2" x14ac:dyDescent="0.25">
      <c r="A168">
        <v>332</v>
      </c>
      <c r="B168">
        <v>55</v>
      </c>
    </row>
    <row r="169" spans="1:2" x14ac:dyDescent="0.25">
      <c r="A169">
        <v>343</v>
      </c>
      <c r="B169">
        <v>61</v>
      </c>
    </row>
    <row r="170" spans="1:2" x14ac:dyDescent="0.25">
      <c r="A170">
        <v>344</v>
      </c>
      <c r="B170">
        <v>48</v>
      </c>
    </row>
    <row r="171" spans="1:2" x14ac:dyDescent="0.25">
      <c r="A171">
        <v>348</v>
      </c>
      <c r="B171">
        <v>39</v>
      </c>
    </row>
    <row r="172" spans="1:2" x14ac:dyDescent="0.25">
      <c r="A172">
        <v>349</v>
      </c>
      <c r="B172">
        <v>44</v>
      </c>
    </row>
  </sheetData>
  <mergeCells count="1">
    <mergeCell ref="Q1:R1"/>
  </mergeCells>
  <pageMargins left="0.7" right="0.7" top="0.75" bottom="0.75" header="0.3" footer="0.3"/>
  <pageSetup orientation="portrait" horizontalDpi="300" verticalDpi="300"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09B8F-2D24-4276-8F6E-744DD363E192}">
  <dimension ref="A1"/>
  <sheetViews>
    <sheetView showGridLines="0" showRowColHeaders="0" tabSelected="1" topLeftCell="C1" zoomScale="80" zoomScaleNormal="80" workbookViewId="0">
      <selection activeCell="AC8" sqref="AC8"/>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D568-D3D0-441B-8061-D692167F7C16}">
  <dimension ref="X10:X25"/>
  <sheetViews>
    <sheetView workbookViewId="0">
      <selection activeCell="N36" sqref="N36"/>
    </sheetView>
  </sheetViews>
  <sheetFormatPr defaultRowHeight="15" x14ac:dyDescent="0.25"/>
  <cols>
    <col min="1" max="16384" width="9.140625" style="1"/>
  </cols>
  <sheetData>
    <row r="10" spans="24:24" x14ac:dyDescent="0.25">
      <c r="X10" s="2"/>
    </row>
    <row r="11" spans="24:24" x14ac:dyDescent="0.25">
      <c r="X11" s="2"/>
    </row>
    <row r="12" spans="24:24" x14ac:dyDescent="0.25">
      <c r="X12" s="2"/>
    </row>
    <row r="13" spans="24:24" x14ac:dyDescent="0.25">
      <c r="X13" s="2"/>
    </row>
    <row r="14" spans="24:24" x14ac:dyDescent="0.25">
      <c r="X14" s="2"/>
    </row>
    <row r="15" spans="24:24" x14ac:dyDescent="0.25">
      <c r="X15" s="2"/>
    </row>
    <row r="16" spans="24:24" x14ac:dyDescent="0.25">
      <c r="X16" s="2"/>
    </row>
    <row r="17" spans="24:24" x14ac:dyDescent="0.25">
      <c r="X17" s="2"/>
    </row>
    <row r="18" spans="24:24" x14ac:dyDescent="0.25">
      <c r="X18" s="2"/>
    </row>
    <row r="19" spans="24:24" x14ac:dyDescent="0.25">
      <c r="X19" s="2"/>
    </row>
    <row r="20" spans="24:24" x14ac:dyDescent="0.25">
      <c r="X20" s="2"/>
    </row>
    <row r="21" spans="24:24" x14ac:dyDescent="0.25">
      <c r="X21" s="2"/>
    </row>
    <row r="22" spans="24:24" x14ac:dyDescent="0.25">
      <c r="X22" s="2"/>
    </row>
    <row r="23" spans="24:24" x14ac:dyDescent="0.25">
      <c r="X23" s="2"/>
    </row>
    <row r="24" spans="24:24" x14ac:dyDescent="0.25">
      <c r="X24" s="2"/>
    </row>
    <row r="25" spans="24:24" x14ac:dyDescent="0.25">
      <c r="X25"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E24E-E8AF-467E-BA0D-3F476EEE1E98}">
  <dimension ref="X10:X25"/>
  <sheetViews>
    <sheetView topLeftCell="A4" workbookViewId="0">
      <selection activeCell="K34" sqref="K34"/>
    </sheetView>
  </sheetViews>
  <sheetFormatPr defaultRowHeight="15" x14ac:dyDescent="0.25"/>
  <cols>
    <col min="1" max="16384" width="9.140625" style="1"/>
  </cols>
  <sheetData>
    <row r="10" spans="24:24" x14ac:dyDescent="0.25">
      <c r="X10" s="2"/>
    </row>
    <row r="11" spans="24:24" x14ac:dyDescent="0.25">
      <c r="X11" s="2"/>
    </row>
    <row r="12" spans="24:24" x14ac:dyDescent="0.25">
      <c r="X12" s="2"/>
    </row>
    <row r="13" spans="24:24" x14ac:dyDescent="0.25">
      <c r="X13" s="2"/>
    </row>
    <row r="14" spans="24:24" x14ac:dyDescent="0.25">
      <c r="X14" s="2"/>
    </row>
    <row r="15" spans="24:24" x14ac:dyDescent="0.25">
      <c r="X15" s="2"/>
    </row>
    <row r="16" spans="24:24" x14ac:dyDescent="0.25">
      <c r="X16" s="2"/>
    </row>
    <row r="17" spans="24:24" x14ac:dyDescent="0.25">
      <c r="X17" s="2"/>
    </row>
    <row r="18" spans="24:24" x14ac:dyDescent="0.25">
      <c r="X18" s="2"/>
    </row>
    <row r="19" spans="24:24" x14ac:dyDescent="0.25">
      <c r="X19" s="2"/>
    </row>
    <row r="20" spans="24:24" x14ac:dyDescent="0.25">
      <c r="X20" s="2"/>
    </row>
    <row r="21" spans="24:24" x14ac:dyDescent="0.25">
      <c r="X21" s="2"/>
    </row>
    <row r="22" spans="24:24" x14ac:dyDescent="0.25">
      <c r="X22" s="2"/>
    </row>
    <row r="23" spans="24:24" x14ac:dyDescent="0.25">
      <c r="X23" s="2"/>
    </row>
    <row r="24" spans="24:24" x14ac:dyDescent="0.25">
      <c r="X24" s="2"/>
    </row>
    <row r="25" spans="24:24" x14ac:dyDescent="0.25">
      <c r="X25"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Original Dataset</vt:lpstr>
      <vt:lpstr>Working Dataset</vt:lpstr>
      <vt:lpstr>Pre-Analysis</vt:lpstr>
      <vt:lpstr>Calculations</vt:lpstr>
      <vt:lpstr>Chart</vt:lpstr>
      <vt:lpstr>Dashboard</vt:lpstr>
      <vt:lpstr>In-Analysis</vt:lpstr>
      <vt:lpstr>Final Recommendations</vt:lpstr>
      <vt:lpstr>achiev_rate</vt:lpstr>
      <vt:lpstr>clean_energy</vt:lpstr>
      <vt:lpstr>com_sat</vt:lpstr>
      <vt:lpstr>current_date</vt:lpstr>
      <vt:lpstr>system_uptime</vt:lpstr>
      <vt:lpstr>TER</vt:lpstr>
      <vt:lpstr>trgt_gap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Asibor</dc:creator>
  <cp:lastModifiedBy>Felix Asibor</cp:lastModifiedBy>
  <dcterms:created xsi:type="dcterms:W3CDTF">2026-09-22T08:36:21Z</dcterms:created>
  <dcterms:modified xsi:type="dcterms:W3CDTF">2026-09-25T13:24:27Z</dcterms:modified>
</cp:coreProperties>
</file>